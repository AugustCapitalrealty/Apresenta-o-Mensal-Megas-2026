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ação" sheetId="1" r:id="rId4"/>
    <sheet state="visible" name="Resumo" sheetId="2" r:id="rId5"/>
  </sheets>
  <definedNames>
    <definedName hidden="1" localSheetId="0" name="_xlnm._FilterDatabase">'Comparação'!$A$5:$L$85</definedName>
  </definedNames>
  <calcPr/>
  <extLst>
    <ext uri="GoogleSheetsCustomDataVersion2">
      <go:sheetsCustomData xmlns:go="http://customooxmlschemas.google.com/" r:id="rId6" roundtripDataChecksum="9revwEJHCSaFOrkQ0uXb18wIcdX4MfFjRzMHJCHOvnQ="/>
    </ext>
  </extLst>
</workbook>
</file>

<file path=xl/sharedStrings.xml><?xml version="1.0" encoding="utf-8"?>
<sst xmlns="http://schemas.openxmlformats.org/spreadsheetml/2006/main" count="551" uniqueCount="200">
  <si>
    <t>Manutenção de imóveis — Mega Itajaí · itens do Orç 2026 × Orç 2027</t>
  </si>
  <si>
    <t>Preencha a coluna COMPARA? com SIM ou NÃO nas linhas amarelas (dúvidas). As outras já vêm com a leitura da análise e podem ser trocadas. Só os pares com SIM entram na comparação item a item da apresentação.</t>
  </si>
  <si>
    <t>Orç 2026: "MESTRA - ORÇAMENTO 2026 ITEM A ITEM" (centro de custo do condomínio) + "MESTRA - CONTRATOS 2026". Orç 2027: modelo 090 + "MESTRA - CONTRATOS 2027". Orç 2026 igual à METRAGEM-COND. Orç 2027: R$ 29.313 acima da METRAGEM (totem, iluminação do AMZ 4/5 e do bolsão — ver as dúvidas).</t>
  </si>
  <si>
    <t>#</t>
  </si>
  <si>
    <t>Tipo</t>
  </si>
  <si>
    <t>Item no Orç 2026</t>
  </si>
  <si>
    <t>Orç 2026</t>
  </si>
  <si>
    <t>Item(ns) no Orç 2027</t>
  </si>
  <si>
    <t>Categoria 2027</t>
  </si>
  <si>
    <t>Orç 2027</t>
  </si>
  <si>
    <t>Δ R$</t>
  </si>
  <si>
    <t>Leitura da análise</t>
  </si>
  <si>
    <t>Por quê</t>
  </si>
  <si>
    <t>COMPARA?</t>
  </si>
  <si>
    <t>Comentário do gestor</t>
  </si>
  <si>
    <t>Avulso</t>
  </si>
  <si>
    <t>Reparo recalque docas funcionais * 14752188</t>
  </si>
  <si>
    <t>NIVELAMENTO DAS DOCAS DO ARMAZÉM 4 E 5 (R$ 188,88/M2 X 800m2) + ELEVAÇÃO DE PAVIMENTO NA DOCA DOS MÓDULOS 12 E 13 (R$ 188,88/m2 x 315m2)</t>
  </si>
  <si>
    <t>PAVIMENTAÇÃO</t>
  </si>
  <si>
    <t>Resumo da comparação (atualiza sozinho com as marcações)</t>
  </si>
  <si>
    <t>Total Orç 2026 (R$)</t>
  </si>
  <si>
    <t>Dúvida</t>
  </si>
  <si>
    <t>Recalque de docas nos dois anos: 2026 docas funcionais; 2027 nivelamento das docas do AMZ 4/5 e elevação nos módulos 12/13. Mesmo problema em outras docas?</t>
  </si>
  <si>
    <t>NÃO</t>
  </si>
  <si>
    <t>Não compara, pois não foi realizado, apenas deslocamos de 2026 para 2027</t>
  </si>
  <si>
    <t>02 torniquetes digcon par ampliação da portaria * 14752402</t>
  </si>
  <si>
    <t>COMPRA DE 3 TORNIQUETES TX1500 DIGICON INOX (PARCELADO 3X)</t>
  </si>
  <si>
    <t>EQUIPAMENTOS</t>
  </si>
  <si>
    <t>Torniquetes Digicon nos dois anos: 2 em 2026 (ampliação da portaria) e 3 em 2027. Os de 2026 foram comprados?</t>
  </si>
  <si>
    <t>Reforma reservatórios de água *6143163</t>
  </si>
  <si>
    <t>LIMPEZA, TRATAMENTO E PINTURA DO RESERVATÓRIO SPK</t>
  </si>
  <si>
    <t>ESTRUTURA METÁLICA</t>
  </si>
  <si>
    <t>2026: reforma dos reservatórios de água; 2027: tratamento e pintura do reservatório do sprinkler. Mesmo reservatório?</t>
  </si>
  <si>
    <t>SIM</t>
  </si>
  <si>
    <t>Não é o mesmo reservatório, mas compara</t>
  </si>
  <si>
    <t>Total Orç 2027 (R$)</t>
  </si>
  <si>
    <t>Pintura alvenaria fase 01 e 02 *  14752305</t>
  </si>
  <si>
    <t>PINTURA DA ALVENARIA DAS FACES EXTERNAS DO ARMAZÉM 1, 2 E 3</t>
  </si>
  <si>
    <t>REVESTIMENTO</t>
  </si>
  <si>
    <t>Pintura de alvenaria nos dois anos: 2026 fases 1 e 2; 2027 armazéns 1, 2 e 3. Continuação da obra ou repetição?</t>
  </si>
  <si>
    <t>Em 2026 é parcial</t>
  </si>
  <si>
    <t>Itens marcados SIM — Orç 2026 (R$)</t>
  </si>
  <si>
    <t>Impermeabilização subestações * 3886349</t>
  </si>
  <si>
    <t>IMPERMEANILIZAÇÃO DA LAJE DA SUBESTAÇÃO 1 - A CADA 5 ANOS + IMPERMEABILIZAÇÃO DA LAJE DA SUBESTAÇÃO 2 - A CADA 5 ANOS</t>
  </si>
  <si>
    <t>REVESTIMENTOS</t>
  </si>
  <si>
    <t>Impermeabilização das subestações em 2026 e de novo em 2027 — o item de 2027 diz "a cada 5 anos". Foi feita em 2026?</t>
  </si>
  <si>
    <t>Contrato</t>
  </si>
  <si>
    <t>CONTRATO — ORBITAL ENGENHARIA E SISTEMAS DE SEGURANCA</t>
  </si>
  <si>
    <t>MANUTENÇÃO PREVENTIVA E CORRETIVA DE SEGURANÇA ELETRÔNICA (FM SECURITY)</t>
  </si>
  <si>
    <t>CONTRATO</t>
  </si>
  <si>
    <t>Itens marcados SIM — Orç 2027 (R$)</t>
  </si>
  <si>
    <t>Orbital (sistemas de segurança) não segue em 2027 e entra o contrato FM Security (segurança eletrônica). Troca de fornecedor do mesmo serviço?</t>
  </si>
  <si>
    <t>Orbital é PPCI e FM é Segurança Eletrônica... Orbital foi rescindido e entrou a Firecam para SDAI (PPCI). FM é contrato novo</t>
  </si>
  <si>
    <t>Preventiva sistema de PPCI com teste NFPA</t>
  </si>
  <si>
    <t>CONTRATO — FIRECAM</t>
  </si>
  <si>
    <t>PPCI</t>
  </si>
  <si>
    <t>Em 2027 entra o contrato Firecam (preventiva de PPCI). Ele substitui a preventiva NFPA de 2026?</t>
  </si>
  <si>
    <t>Variação dos itens que comparam (R$)</t>
  </si>
  <si>
    <t>Item acima. NFPA tem todo o ano. Está comparando com a linha errada</t>
  </si>
  <si>
    <t>Limpeza vertical fase 3 * 8295809</t>
  </si>
  <si>
    <t>LIMPEZA DAS ESTRUTURAS METÁLICAS DO ARMAZÉM 1, 2 E 3</t>
  </si>
  <si>
    <t>Variação dos itens que comparam (%)</t>
  </si>
  <si>
    <t>Limpeza das estruturas nos dois anos: 2026 fase 3; 2027 armazéns 1, 2 e 3. Mesma frente de serviço em outra área?</t>
  </si>
  <si>
    <t>Outra área</t>
  </si>
  <si>
    <t>Impermeabilização casa de bombas * 12494396</t>
  </si>
  <si>
    <t>IMPERMEABILIZAÇÃO DA LAJE DA CASA DE BOMBAS - A CADA 5 ANOS</t>
  </si>
  <si>
    <t>Impermeabilização da casa de bombas em 2026 e de novo em 2027 — o item de 2027 diz "a cada 5 anos". Foi feita em 2026?</t>
  </si>
  <si>
    <t>Provisão reparo sistemas de acesso</t>
  </si>
  <si>
    <t>—</t>
  </si>
  <si>
    <t>Pares marcados SIM</t>
  </si>
  <si>
    <t>Ver a linha de cima: se o contrato FM Security cobre o acesso, esta provisão entra na mesma comparação.</t>
  </si>
  <si>
    <t>Iluminação bolsão externo * 12182452</t>
  </si>
  <si>
    <t>INSTALAÇÃO DE ILUMINAÇÃO PARA O BOLSÃO DE VEÍCULOS LEVES (ESTACIONAMENTO)</t>
  </si>
  <si>
    <t>ELÉTRICA</t>
  </si>
  <si>
    <t>Dúvidas ainda sem resposta</t>
  </si>
  <si>
    <t>Iluminação do bolsão nos dois anos. O item de 2027 (R$ 5.938, fev) está no 090 mas não na METRAGEM: foi feito em 2026?</t>
  </si>
  <si>
    <t>Troca lona totem *14795504</t>
  </si>
  <si>
    <t>MANUTENÇÃO E PINTURA DO TOTEM MEGA</t>
  </si>
  <si>
    <t>Totem nos dois anos. O item de 2027 (R$ 11.500, jan) está no 090 mas não na METRAGEM: foi feito em 2026?</t>
  </si>
  <si>
    <t>Fonte: aba Comparação (Mega Itajaí; Orç 2026 = mestras de 2026; Orç 2027 = modelo 090 + "MESTRA - CONTRATOS 2027").</t>
  </si>
  <si>
    <t>São coisas diferentes.  A troca da Lona foi feita em 2026 e a manutenção da estrutura do totem está para 2027</t>
  </si>
  <si>
    <t>Iluminação rua armazém 4/5 * 6011694</t>
  </si>
  <si>
    <t>INSTALAÇÃO DE ILUMINAÇÃO ADICIONAL NA LATERAL DO AMZ 4 E 5 (PERÍMETRO)</t>
  </si>
  <si>
    <t>Iluminação do AMZ 4/5 nos dois anos. O item de 2027 (R$ 11.875, fev) está no 090 mas não na METRAGEM: foi feito em 2026?</t>
  </si>
  <si>
    <t>Preventiva condicionadores de ar</t>
  </si>
  <si>
    <t>CONTRATO DE MANUTENÇÃO DE APARELHOS DE AR CONDICIONADO CONFORME PMOC</t>
  </si>
  <si>
    <t>AVAC</t>
  </si>
  <si>
    <t>Mesmo serviço, mas em 2027 virou contrato (PMOC) e o valor dobra. Comparar como o mesmo item?</t>
  </si>
  <si>
    <t>Melhoria no contrato</t>
  </si>
  <si>
    <t>Organização quadro elétrico portaria * 2791575</t>
  </si>
  <si>
    <t>ORGANIZAÇÃO, IDENTIFICAÇÃO E DESATIVAÇÃO DE CIRCUITOS INOPERANTES QUADRO PORTARIA</t>
  </si>
  <si>
    <t>Mesmo serviço (organização do quadro da portaria) orçado nos dois anos. Foi feito em 2026?</t>
  </si>
  <si>
    <t>CONTRATO — PREVENTIVA E CORRETIVA DAS COBERTURAS</t>
  </si>
  <si>
    <t>COBERTURA</t>
  </si>
  <si>
    <t>Compara</t>
  </si>
  <si>
    <t>Mesmo contrato de cobertura. Cai 44% em 2027 (contrato renovado em set/26): confirmar se o escopo mudou.</t>
  </si>
  <si>
    <t>CONTRATO — RODRIGO ROHDE</t>
  </si>
  <si>
    <t>Mesmo contrato (ITAC, subestações e SPDA). Sobe 24%, acima do IPCA.</t>
  </si>
  <si>
    <t>CONTRATO — MG GERADORES EIRELI</t>
  </si>
  <si>
    <t>CONTRATO — MG GERADORES</t>
  </si>
  <si>
    <t>Mesmo contrato (geradores). Cai 15% em 2027.</t>
  </si>
  <si>
    <t>Limpeza pórtico prédio apoio/pórtico *10229601</t>
  </si>
  <si>
    <t>SERVIÇO DE LIMPEZA, PREPARO E PINTURA PORTARIA E PREDIO APOIO</t>
  </si>
  <si>
    <t>Mesma estrutura (pórtico e prédio de apoio); em 2027 inclui preparo e pintura.</t>
  </si>
  <si>
    <t>Em 2026 apenas lavagem da estrutura metálica. Em 2027 pintura (revestimento) na alvenaria</t>
  </si>
  <si>
    <t>Preventiva analise de efluentes</t>
  </si>
  <si>
    <t>SERVIÇO DE ANÁLISE LABORATORIAL SEMESTRAL DOS 20 STE (ENTRADA E SAÍDA)</t>
  </si>
  <si>
    <t>HIDROSSANITÁRIO</t>
  </si>
  <si>
    <t>Mesmo serviço: análise dos efluentes (STE).</t>
  </si>
  <si>
    <t>Preventiva/PAE Brigada/ extintores</t>
  </si>
  <si>
    <t>PLANO DE EMERGÊNCIA E CURSO DE BRIGADA DE INCÊNDIO NR 23 ANUAL + SERVIÇO DE RECARGA DE EXTINTORES E TESTE HIDROSTÁTICO DE MANGUEIRAS</t>
  </si>
  <si>
    <t>Em 2026 era um item só; em 2027 virou dois (brigada/PAE e extintores).</t>
  </si>
  <si>
    <t>Contrato Rentbrella * 6995759</t>
  </si>
  <si>
    <t>MAQUINA DE GUARDA-CHUVA RENTBRELLA</t>
  </si>
  <si>
    <t>Mesmo contrato (máquina de guarda-chuva), mesmo valor.</t>
  </si>
  <si>
    <t>Obra cancelas 2/2 *  2594805</t>
  </si>
  <si>
    <t>Não compara</t>
  </si>
  <si>
    <t>Obra pontual de 2026.</t>
  </si>
  <si>
    <t>SEGURO MEGA ITAJAÍ 2026</t>
  </si>
  <si>
    <t>Seguro lançado na manutenção em 2026. Em 2027 o seguro está na conta Seguro.</t>
  </si>
  <si>
    <t>Forro lambril galvanizado *6551962</t>
  </si>
  <si>
    <t>Aquisição dilacerador cancela 4 * 4131205</t>
  </si>
  <si>
    <t>Compra pontual de 2026.</t>
  </si>
  <si>
    <t>Bicicletario externo * 14512183</t>
  </si>
  <si>
    <t>Semáforo cancelas *7609565</t>
  </si>
  <si>
    <t>SEGURO MEGA ESTEIO - ÁRMAZEM A</t>
  </si>
  <si>
    <t>Seguro do Mega Esteio lançado na manutenção de Itajaí em 2026. Não é despesa de Itajaí.</t>
  </si>
  <si>
    <t>Botão Pânico clientes * 14753033</t>
  </si>
  <si>
    <t>Recalque pavimento interno * 4168847 / 6117386</t>
  </si>
  <si>
    <t>Só 2026</t>
  </si>
  <si>
    <t>Sem item parecido em 2027.</t>
  </si>
  <si>
    <t>Entra na provisão dos 3%</t>
  </si>
  <si>
    <t>Provisão manutenções emergências</t>
  </si>
  <si>
    <t>Reparo recalque área de docas fase  3 * 6551917 / 6551928</t>
  </si>
  <si>
    <t>Lina 1 da planilha</t>
  </si>
  <si>
    <t>Provisão para iluminação da área comum/manutenções elétricas</t>
  </si>
  <si>
    <t>Provisão gastos PPCI</t>
  </si>
  <si>
    <t>Preventivo/recalque paver preventivo de incêndio * 4168847</t>
  </si>
  <si>
    <t>Teve esse serviço em 2026. Favor reconferir</t>
  </si>
  <si>
    <t>PPCI prédio de apoio *2803230</t>
  </si>
  <si>
    <t>Feito em 2026</t>
  </si>
  <si>
    <t>Preventiva/Consultoria Ambiental</t>
  </si>
  <si>
    <t>Reparo totens de acesso</t>
  </si>
  <si>
    <t>Provisão gastos com comunicação visual * 3311473 /  6014375</t>
  </si>
  <si>
    <t>Preventiva trator/tratorito</t>
  </si>
  <si>
    <t>Entra em outra linha... Mautenção de Bens Móveis</t>
  </si>
  <si>
    <t>Instalação vídeo porteiro * 7597153</t>
  </si>
  <si>
    <t>Preventiva Limpeza caixa de água/com laudo</t>
  </si>
  <si>
    <t>Virou contrato</t>
  </si>
  <si>
    <t>Interligar nobreak cancelas * 5738417</t>
  </si>
  <si>
    <t>Botoeiras adicionais cancelas * 3538187</t>
  </si>
  <si>
    <t>Alteração das botoeiras dilaceradores * 6983376</t>
  </si>
  <si>
    <t>Preventiva bombas de drenagem</t>
  </si>
  <si>
    <t>INSTALAÇÃO DE 4 CAIXAS COM CALHAS PARSHALLS/ETE NAS SAÍDAS PLUVIAIS (2 PARCELAS)</t>
  </si>
  <si>
    <t>CIVIL</t>
  </si>
  <si>
    <t>Só 2027</t>
  </si>
  <si>
    <t>Item novo, sem par em 2026.</t>
  </si>
  <si>
    <t>CONTRATO — ARCA AGRO - MANUTENÇÃO AREA VERDE</t>
  </si>
  <si>
    <t>ÁREA VERDE</t>
  </si>
  <si>
    <t>INSTALAÇÃO DE DEFENSAS METÁLICAS ANTI-EVASÃO LATERAL 2/3 H2 (140M X R$ 509,8)</t>
  </si>
  <si>
    <t>SINALIZAÇÃO VIÁRIA</t>
  </si>
  <si>
    <t>INSTALAÇÃO DE DEFENSAS METÁLICAS ANTI-EVASÃO (EST. LEVES 36M H2)</t>
  </si>
  <si>
    <t>MANUTENÇÃO PREVENTIVA ANUAL DAS VIAS DE CARRO (1.059,86 M2 X R$ 39)</t>
  </si>
  <si>
    <t>COMUNICAÇÃO HORIZONTAL</t>
  </si>
  <si>
    <t>SERVIÇO DE LIMPEZA E SUCÇÃO ANUAL DAS FOSSAS (R$ 80 M3 X 450M3)</t>
  </si>
  <si>
    <t>SERVIÇO DE LIMPEZA, PREPARO E PINTURA DA SUBESTAÇÃO 1</t>
  </si>
  <si>
    <t>SUBSTITUIÇÃO DE PAVIMENTO PINTADO (MATERIAL E MÃO DE OBRA)</t>
  </si>
  <si>
    <t>PAVIMENTO</t>
  </si>
  <si>
    <t>SUBS. DE ENCANAMENTO DE PVC POR PPR NO RESTAURANTE (ÁGUA QUENTE) - MÃO DE OBRA</t>
  </si>
  <si>
    <t>HIDRÁULICA</t>
  </si>
  <si>
    <t>INSTALAÇÃO E EXECUÇÃO DAS BANDEIRAS</t>
  </si>
  <si>
    <t>MANUTENÇÃO PREVENTIVA ANUAL DA DEMARCAÇÃO DA CALÇADA (</t>
  </si>
  <si>
    <t>MANUTENÇÃO PREVENTIVA E REVISÃO DAS VÁLVULAS DE GOVERNO (FASE 1 A 3 VGAS)</t>
  </si>
  <si>
    <t>SERVIÇO DE LIMPEZA, PREPARO E PINTURA DA CASA DE BOMBAS</t>
  </si>
  <si>
    <t>ADEQUAÇÃO E MELHORIA COPA</t>
  </si>
  <si>
    <t>MATERIAL DE CONSTRUÇÃO PARA USO PELO ZELADOR PARA PEQUENOS REPAROS</t>
  </si>
  <si>
    <t>OUTROS</t>
  </si>
  <si>
    <t>SERVIÇO DE LIMPEZA, PREPARO E PINTURA DA SUBESTAÇÃO 2</t>
  </si>
  <si>
    <t>REPOSIÇÃO E SUBSTITUIÇÃO DE PLACAS DE SINALIZAÇÃO</t>
  </si>
  <si>
    <t>COMUNICAÇÃO VERTICAL</t>
  </si>
  <si>
    <t>MANUTENÇAÕ PREVENTIVA ANUAL DA DEMARCAÇÃO DO BOLSÃO (300m2)</t>
  </si>
  <si>
    <t>MÃO DE OBRA PRA SUBSTITUIÇÃO DE APARELHOS DE AR CONDICIONADO (PORTARIA E ADM)</t>
  </si>
  <si>
    <t>SUBS. DE ENCAMENAMENTO PVC POR PPR NO RESTAURANTE (ÁGUA QUENTE) - MATERIAL</t>
  </si>
  <si>
    <t>MANUTENÇÃO PREVENTIVA SEMESTRAL DA DEMARCAÇÃO (ÁREA DE ACESSOS (100M2)</t>
  </si>
  <si>
    <t>INSTALAÇÃO DE LINHA DE VIDA VERTICAL NA ESCADA MARINHEIRO AMZ 1</t>
  </si>
  <si>
    <t>SCPQ</t>
  </si>
  <si>
    <t>INSTALAÇÃO DE LINHA DE VIDA VERTICAL NA ESCADA MARINHEIRO  AMZ 2</t>
  </si>
  <si>
    <t>INSTALAÇÃO DE LINHA DE VIDA VERTICAL NA ESCADA MARINHEIRO  AMZ 4</t>
  </si>
  <si>
    <t>INSTALAÇÃO DE LINHA DE VIDA VERTICAL NA ESCADA MARINHEIRO  AMZ 3</t>
  </si>
  <si>
    <t>SERVIÇO DE LIMPEZA, PREPARO E PINTURA ÁREA DE CONVIVÊNCIA</t>
  </si>
  <si>
    <t>REPOSIÇÃO DE TACHINHAS DE SINALIZAÇÃO (100 UND X R$ 55,00)</t>
  </si>
  <si>
    <t>SUBSTITUIÇÃO DA GELADEIRA DA COPA</t>
  </si>
  <si>
    <t>ELETRO DOMÉSTICO</t>
  </si>
  <si>
    <t>ALIMENTAÇÃO DO BEBEDOURO EXTERNO</t>
  </si>
  <si>
    <t>INFRA ELÉTRICA E LÓGICA PARA DISPOSITIVO DE MONITORAMENTO</t>
  </si>
  <si>
    <t>MONITORAMENTO</t>
  </si>
  <si>
    <t>BEBEDOURO INDUSTRIAL 50L PARA O PÚBLICO EXTERNO</t>
  </si>
  <si>
    <t>MANUTENÇÃO PREVENTIVA SEMESTRAL DA DEMARCAÇÃO (PONTE - 22,2 m2 x R$ 39)</t>
  </si>
  <si>
    <t>MANUTENÇÃO PREVENTIVA SEMESTRAL DA DEMERCAÇÃO EMB, E DESEMBARQUE (20M2)</t>
  </si>
  <si>
    <t>COMUNICAÇAO HORIZONTAL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</si>
</sst>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$&quot; #,##0;-&quot;R$&quot; #,##0;&quot;–&quot;"/>
    <numFmt numFmtId="165" formatCode="0.0%"/>
  </numFmts>
  <fonts count="13">
    <font>
      <sz val="11.0"/>
      <color theme="1"/>
      <name val="Calibri"/>
      <scheme val="minor"/>
    </font>
    <font>
      <b/>
      <sz val="13.0"/>
      <color rgb="FF151E49"/>
      <name val="Arial"/>
    </font>
    <font>
      <sz val="9.0"/>
      <color rgb="FF475569"/>
      <name val="Arial"/>
    </font>
    <font>
      <sz val="9.0"/>
      <color rgb="FF94A3B8"/>
      <name val="Arial"/>
    </font>
    <font>
      <b/>
      <sz val="9.0"/>
      <color rgb="FFFFFFFF"/>
      <name val="Arial"/>
    </font>
    <font>
      <sz val="9.0"/>
      <color rgb="FF151E49"/>
      <name val="Arial"/>
    </font>
    <font>
      <b/>
      <sz val="12.0"/>
      <color rgb="FF151E49"/>
      <name val="Arial"/>
    </font>
    <font>
      <sz val="10.0"/>
      <color theme="1"/>
      <name val="Arial"/>
    </font>
    <font>
      <b/>
      <sz val="9.0"/>
      <color rgb="FF151E49"/>
      <name val="Arial"/>
    </font>
    <font>
      <b/>
      <sz val="10.0"/>
      <color rgb="FF151E49"/>
      <name val="Arial"/>
    </font>
    <font>
      <sz val="8.0"/>
      <color rgb="FF94A3B8"/>
      <name val="Arial"/>
    </font>
    <font>
      <b/>
      <sz val="9.0"/>
      <color rgb="FF94A3B8"/>
      <name val="Arial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51E49"/>
        <bgColor rgb="FF151E49"/>
      </patternFill>
    </fill>
    <fill>
      <patternFill patternType="solid">
        <fgColor rgb="FFF97316"/>
        <bgColor rgb="FFF97316"/>
      </patternFill>
    </fill>
    <fill>
      <patternFill patternType="solid">
        <fgColor rgb="FFFEF3C7"/>
        <bgColor rgb="FFFEF3C7"/>
      </patternFill>
    </fill>
    <fill>
      <patternFill patternType="solid">
        <fgColor rgb="FFFDE68A"/>
        <bgColor rgb="FFFDE68A"/>
      </patternFill>
    </fill>
    <fill>
      <patternFill patternType="solid">
        <fgColor rgb="FFF8FAFC"/>
        <bgColor rgb="FFF8FAFC"/>
      </patternFill>
    </fill>
  </fills>
  <borders count="3">
    <border/>
    <border>
      <left/>
      <right/>
      <top/>
      <bottom/>
    </border>
    <border>
      <bottom style="thin">
        <color rgb="FFE2E8F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2" fillId="4" fontId="5" numFmtId="0" xfId="0" applyAlignment="1" applyBorder="1" applyFill="1" applyFont="1">
      <alignment horizontal="center" vertical="top"/>
    </xf>
    <xf borderId="2" fillId="4" fontId="5" numFmtId="0" xfId="0" applyAlignment="1" applyBorder="1" applyFill="1" applyFont="1">
      <alignment vertical="top"/>
    </xf>
    <xf borderId="2" fillId="4" fontId="5" numFmtId="0" xfId="0" applyAlignment="1" applyBorder="1" applyFill="1" applyFont="1">
      <alignment shrinkToFit="0" vertical="top" wrapText="1"/>
    </xf>
    <xf borderId="2" fillId="4" fontId="5" numFmtId="164" xfId="0" applyAlignment="1" applyBorder="1" applyFill="1" applyFont="1" applyNumberFormat="1">
      <alignment vertical="top"/>
    </xf>
    <xf borderId="0" fillId="0" fontId="6" numFmtId="0" xfId="0" applyFont="1"/>
    <xf borderId="0" fillId="0" fontId="7" numFmtId="0" xfId="0" applyFont="1"/>
    <xf borderId="2" fillId="5" fontId="8" numFmtId="0" xfId="0" applyAlignment="1" applyBorder="1" applyFill="1" applyFont="1">
      <alignment horizontal="center" readingOrder="0" vertical="top"/>
    </xf>
    <xf borderId="2" fillId="4" fontId="5" numFmtId="0" xfId="0" applyAlignment="1" applyBorder="1" applyFill="1" applyFont="1">
      <alignment readingOrder="0" shrinkToFit="0" vertical="top" wrapText="1"/>
    </xf>
    <xf borderId="0" fillId="0" fontId="9" numFmtId="164" xfId="0" applyFont="1" applyNumberFormat="1"/>
    <xf borderId="0" fillId="0" fontId="9" numFmtId="165" xfId="0" applyFont="1" applyNumberFormat="1"/>
    <xf borderId="0" fillId="0" fontId="9" numFmtId="3" xfId="0" applyFont="1" applyNumberFormat="1"/>
    <xf borderId="0" fillId="0" fontId="10" numFmtId="0" xfId="0" applyFont="1"/>
    <xf borderId="2" fillId="0" fontId="5" numFmtId="0" xfId="0" applyAlignment="1" applyBorder="1" applyFont="1">
      <alignment horizontal="center" vertical="top"/>
    </xf>
    <xf borderId="2" fillId="0" fontId="5" numFmtId="0" xfId="0" applyAlignment="1" applyBorder="1" applyFont="1">
      <alignment vertical="top"/>
    </xf>
    <xf borderId="2" fillId="0" fontId="5" numFmtId="0" xfId="0" applyAlignment="1" applyBorder="1" applyFont="1">
      <alignment shrinkToFit="0" vertical="top" wrapText="1"/>
    </xf>
    <xf borderId="2" fillId="0" fontId="5" numFmtId="164" xfId="0" applyAlignment="1" applyBorder="1" applyFont="1" applyNumberFormat="1">
      <alignment vertical="top"/>
    </xf>
    <xf borderId="2" fillId="0" fontId="8" numFmtId="0" xfId="0" applyAlignment="1" applyBorder="1" applyFont="1">
      <alignment horizontal="center" vertical="top"/>
    </xf>
    <xf borderId="2" fillId="0" fontId="8" numFmtId="0" xfId="0" applyAlignment="1" applyBorder="1" applyFont="1">
      <alignment horizontal="center" readingOrder="0" vertical="top"/>
    </xf>
    <xf borderId="2" fillId="0" fontId="5" numFmtId="0" xfId="0" applyAlignment="1" applyBorder="1" applyFont="1">
      <alignment readingOrder="0" shrinkToFit="0" vertical="top" wrapText="1"/>
    </xf>
    <xf borderId="2" fillId="6" fontId="3" numFmtId="0" xfId="0" applyAlignment="1" applyBorder="1" applyFill="1" applyFont="1">
      <alignment horizontal="center" vertical="top"/>
    </xf>
    <xf borderId="2" fillId="6" fontId="3" numFmtId="0" xfId="0" applyAlignment="1" applyBorder="1" applyFill="1" applyFont="1">
      <alignment vertical="top"/>
    </xf>
    <xf borderId="2" fillId="6" fontId="3" numFmtId="0" xfId="0" applyAlignment="1" applyBorder="1" applyFill="1" applyFont="1">
      <alignment shrinkToFit="0" vertical="top" wrapText="1"/>
    </xf>
    <xf borderId="2" fillId="6" fontId="5" numFmtId="164" xfId="0" applyAlignment="1" applyBorder="1" applyFill="1" applyFont="1" applyNumberFormat="1">
      <alignment vertical="top"/>
    </xf>
    <xf borderId="2" fillId="6" fontId="3" numFmtId="164" xfId="0" applyAlignment="1" applyBorder="1" applyFill="1" applyFont="1" applyNumberFormat="1">
      <alignment vertical="top"/>
    </xf>
    <xf borderId="2" fillId="6" fontId="11" numFmtId="0" xfId="0" applyAlignment="1" applyBorder="1" applyFill="1" applyFont="1">
      <alignment horizontal="center" readingOrder="0" vertical="top"/>
    </xf>
    <xf borderId="2" fillId="6" fontId="3" numFmtId="0" xfId="0" applyAlignment="1" applyBorder="1" applyFill="1" applyFont="1">
      <alignment readingOrder="0" shrinkToFit="0" vertical="top" wrapText="1"/>
    </xf>
    <xf borderId="2" fillId="6" fontId="11" numFmtId="0" xfId="0" applyAlignment="1" applyBorder="1" applyFill="1" applyFont="1">
      <alignment horizontal="center" vertical="top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5.0"/>
    <col customWidth="1" min="2" max="2" width="10.0"/>
    <col customWidth="1" min="3" max="3" width="42.0"/>
    <col customWidth="1" min="4" max="4" width="13.0"/>
    <col customWidth="1" min="5" max="5" width="52.0"/>
    <col customWidth="1" min="6" max="6" width="18.0"/>
    <col customWidth="1" min="7" max="8" width="13.0"/>
    <col customWidth="1" min="9" max="9" width="14.0"/>
    <col customWidth="1" min="10" max="10" width="60.0"/>
    <col customWidth="1" min="11" max="11" width="13.57"/>
    <col customWidth="1" min="12" max="12" width="30.0"/>
    <col customWidth="1" min="13" max="26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5" ht="25.5" customHeight="1">
      <c r="A5" s="4" t="s">
        <v>3</v>
      </c>
      <c r="B5" s="5" t="s">
        <v>4</v>
      </c>
      <c r="C5" s="5" t="s">
        <v>5</v>
      </c>
      <c r="D5" s="4" t="s">
        <v>6</v>
      </c>
      <c r="E5" s="5" t="s">
        <v>7</v>
      </c>
      <c r="F5" s="5" t="s">
        <v>8</v>
      </c>
      <c r="G5" s="4" t="s">
        <v>9</v>
      </c>
      <c r="H5" s="4" t="s">
        <v>10</v>
      </c>
      <c r="I5" s="5" t="s">
        <v>11</v>
      </c>
      <c r="J5" s="5" t="s">
        <v>12</v>
      </c>
      <c r="K5" s="6" t="s">
        <v>13</v>
      </c>
      <c r="L5" s="5" t="s">
        <v>14</v>
      </c>
    </row>
    <row r="6">
      <c r="A6" s="7">
        <v>1.0</v>
      </c>
      <c r="B6" s="8" t="s">
        <v>15</v>
      </c>
      <c r="C6" s="9" t="s">
        <v>16</v>
      </c>
      <c r="D6" s="10">
        <v>75334.66</v>
      </c>
      <c r="E6" s="9" t="s">
        <v>17</v>
      </c>
      <c r="F6" s="8" t="s">
        <v>18</v>
      </c>
      <c r="G6" s="10">
        <v>210601.2</v>
      </c>
      <c r="H6" s="10">
        <f t="shared" ref="H6:H85" si="1">G6-D6</f>
        <v>135266.54</v>
      </c>
      <c r="I6" s="8" t="s">
        <v>21</v>
      </c>
      <c r="J6" s="9" t="s">
        <v>22</v>
      </c>
      <c r="K6" s="13" t="s">
        <v>23</v>
      </c>
      <c r="L6" s="14" t="s">
        <v>24</v>
      </c>
    </row>
    <row r="7">
      <c r="A7" s="7">
        <v>2.0</v>
      </c>
      <c r="B7" s="8" t="s">
        <v>15</v>
      </c>
      <c r="C7" s="9" t="s">
        <v>25</v>
      </c>
      <c r="D7" s="10">
        <v>146800.0</v>
      </c>
      <c r="E7" s="9" t="s">
        <v>26</v>
      </c>
      <c r="F7" s="8" t="s">
        <v>27</v>
      </c>
      <c r="G7" s="10">
        <v>206700.0</v>
      </c>
      <c r="H7" s="10">
        <f t="shared" si="1"/>
        <v>59900</v>
      </c>
      <c r="I7" s="8" t="s">
        <v>21</v>
      </c>
      <c r="J7" s="9" t="s">
        <v>28</v>
      </c>
      <c r="K7" s="13" t="s">
        <v>23</v>
      </c>
      <c r="L7" s="14" t="s">
        <v>24</v>
      </c>
    </row>
    <row r="8">
      <c r="A8" s="7">
        <v>3.0</v>
      </c>
      <c r="B8" s="8" t="s">
        <v>15</v>
      </c>
      <c r="C8" s="9" t="s">
        <v>29</v>
      </c>
      <c r="D8" s="10">
        <v>85000.0</v>
      </c>
      <c r="E8" s="9" t="s">
        <v>30</v>
      </c>
      <c r="F8" s="8" t="s">
        <v>31</v>
      </c>
      <c r="G8" s="10">
        <v>179543.16</v>
      </c>
      <c r="H8" s="10">
        <f t="shared" si="1"/>
        <v>94543.16</v>
      </c>
      <c r="I8" s="8" t="s">
        <v>21</v>
      </c>
      <c r="J8" s="9" t="s">
        <v>32</v>
      </c>
      <c r="K8" s="13" t="s">
        <v>33</v>
      </c>
      <c r="L8" s="14" t="s">
        <v>34</v>
      </c>
    </row>
    <row r="9">
      <c r="A9" s="7">
        <v>4.0</v>
      </c>
      <c r="B9" s="8" t="s">
        <v>15</v>
      </c>
      <c r="C9" s="9" t="s">
        <v>36</v>
      </c>
      <c r="D9" s="10">
        <v>113942.0</v>
      </c>
      <c r="E9" s="9" t="s">
        <v>37</v>
      </c>
      <c r="F9" s="8" t="s">
        <v>38</v>
      </c>
      <c r="G9" s="10">
        <v>171000.0</v>
      </c>
      <c r="H9" s="10">
        <f t="shared" si="1"/>
        <v>57058</v>
      </c>
      <c r="I9" s="8" t="s">
        <v>21</v>
      </c>
      <c r="J9" s="9" t="s">
        <v>39</v>
      </c>
      <c r="K9" s="13" t="s">
        <v>33</v>
      </c>
      <c r="L9" s="14" t="s">
        <v>40</v>
      </c>
    </row>
    <row r="10">
      <c r="A10" s="7">
        <v>5.0</v>
      </c>
      <c r="B10" s="8" t="s">
        <v>15</v>
      </c>
      <c r="C10" s="9" t="s">
        <v>42</v>
      </c>
      <c r="D10" s="10">
        <v>44750.69</v>
      </c>
      <c r="E10" s="9" t="s">
        <v>43</v>
      </c>
      <c r="F10" s="8" t="s">
        <v>44</v>
      </c>
      <c r="G10" s="10">
        <v>131769.55</v>
      </c>
      <c r="H10" s="10">
        <f t="shared" si="1"/>
        <v>87018.86</v>
      </c>
      <c r="I10" s="8" t="s">
        <v>21</v>
      </c>
      <c r="J10" s="9" t="s">
        <v>45</v>
      </c>
      <c r="K10" s="13" t="s">
        <v>23</v>
      </c>
      <c r="L10" s="14" t="s">
        <v>24</v>
      </c>
    </row>
    <row r="11">
      <c r="A11" s="7">
        <v>6.0</v>
      </c>
      <c r="B11" s="8" t="s">
        <v>46</v>
      </c>
      <c r="C11" s="9" t="s">
        <v>47</v>
      </c>
      <c r="D11" s="10">
        <v>125196.6</v>
      </c>
      <c r="E11" s="9" t="s">
        <v>48</v>
      </c>
      <c r="F11" s="8" t="s">
        <v>49</v>
      </c>
      <c r="G11" s="10">
        <v>61532.39999999999</v>
      </c>
      <c r="H11" s="10">
        <f t="shared" si="1"/>
        <v>-63664.2</v>
      </c>
      <c r="I11" s="8" t="s">
        <v>21</v>
      </c>
      <c r="J11" s="9" t="s">
        <v>51</v>
      </c>
      <c r="K11" s="13" t="s">
        <v>23</v>
      </c>
      <c r="L11" s="14" t="s">
        <v>52</v>
      </c>
    </row>
    <row r="12">
      <c r="A12" s="7">
        <v>7.0</v>
      </c>
      <c r="B12" s="8" t="s">
        <v>15</v>
      </c>
      <c r="C12" s="9" t="s">
        <v>53</v>
      </c>
      <c r="D12" s="10">
        <v>8464.5</v>
      </c>
      <c r="E12" s="9" t="s">
        <v>54</v>
      </c>
      <c r="F12" s="8" t="s">
        <v>55</v>
      </c>
      <c r="G12" s="10">
        <v>120000.0</v>
      </c>
      <c r="H12" s="10">
        <f t="shared" si="1"/>
        <v>111535.5</v>
      </c>
      <c r="I12" s="8" t="s">
        <v>21</v>
      </c>
      <c r="J12" s="9" t="s">
        <v>56</v>
      </c>
      <c r="K12" s="13" t="s">
        <v>23</v>
      </c>
      <c r="L12" s="14" t="s">
        <v>58</v>
      </c>
    </row>
    <row r="13">
      <c r="A13" s="7">
        <v>8.0</v>
      </c>
      <c r="B13" s="8" t="s">
        <v>15</v>
      </c>
      <c r="C13" s="9" t="s">
        <v>59</v>
      </c>
      <c r="D13" s="10">
        <v>84798.34999999999</v>
      </c>
      <c r="E13" s="9" t="s">
        <v>60</v>
      </c>
      <c r="F13" s="8" t="s">
        <v>31</v>
      </c>
      <c r="G13" s="10">
        <v>90000.0</v>
      </c>
      <c r="H13" s="10">
        <f t="shared" si="1"/>
        <v>5201.65</v>
      </c>
      <c r="I13" s="8" t="s">
        <v>21</v>
      </c>
      <c r="J13" s="9" t="s">
        <v>62</v>
      </c>
      <c r="K13" s="13" t="s">
        <v>33</v>
      </c>
      <c r="L13" s="14" t="s">
        <v>63</v>
      </c>
    </row>
    <row r="14">
      <c r="A14" s="7">
        <v>9.0</v>
      </c>
      <c r="B14" s="8" t="s">
        <v>15</v>
      </c>
      <c r="C14" s="9" t="s">
        <v>64</v>
      </c>
      <c r="D14" s="10">
        <v>27375.36</v>
      </c>
      <c r="E14" s="9" t="s">
        <v>65</v>
      </c>
      <c r="F14" s="8" t="s">
        <v>44</v>
      </c>
      <c r="G14" s="10">
        <v>39426.11</v>
      </c>
      <c r="H14" s="10">
        <f t="shared" si="1"/>
        <v>12050.75</v>
      </c>
      <c r="I14" s="8" t="s">
        <v>21</v>
      </c>
      <c r="J14" s="9" t="s">
        <v>66</v>
      </c>
      <c r="K14" s="13" t="s">
        <v>23</v>
      </c>
      <c r="L14" s="14" t="s">
        <v>24</v>
      </c>
    </row>
    <row r="15">
      <c r="A15" s="7">
        <v>10.0</v>
      </c>
      <c r="B15" s="8" t="s">
        <v>15</v>
      </c>
      <c r="C15" s="9" t="s">
        <v>67</v>
      </c>
      <c r="D15" s="10">
        <v>24801.52</v>
      </c>
      <c r="E15" s="9" t="s">
        <v>68</v>
      </c>
      <c r="F15" s="8"/>
      <c r="G15" s="10"/>
      <c r="H15" s="10">
        <f t="shared" si="1"/>
        <v>-24801.52</v>
      </c>
      <c r="I15" s="8" t="s">
        <v>21</v>
      </c>
      <c r="J15" s="9" t="s">
        <v>70</v>
      </c>
      <c r="K15" s="13" t="s">
        <v>33</v>
      </c>
      <c r="L15" s="9"/>
    </row>
    <row r="16">
      <c r="A16" s="7">
        <v>11.0</v>
      </c>
      <c r="B16" s="8" t="s">
        <v>15</v>
      </c>
      <c r="C16" s="9" t="s">
        <v>71</v>
      </c>
      <c r="D16" s="10">
        <v>20383.5</v>
      </c>
      <c r="E16" s="9" t="s">
        <v>72</v>
      </c>
      <c r="F16" s="8" t="s">
        <v>73</v>
      </c>
      <c r="G16" s="10">
        <v>5937.74</v>
      </c>
      <c r="H16" s="10">
        <f t="shared" si="1"/>
        <v>-14445.76</v>
      </c>
      <c r="I16" s="8" t="s">
        <v>21</v>
      </c>
      <c r="J16" s="9" t="s">
        <v>75</v>
      </c>
      <c r="K16" s="13" t="s">
        <v>23</v>
      </c>
      <c r="L16" s="14" t="s">
        <v>24</v>
      </c>
    </row>
    <row r="17">
      <c r="A17" s="7">
        <v>12.0</v>
      </c>
      <c r="B17" s="8" t="s">
        <v>15</v>
      </c>
      <c r="C17" s="9" t="s">
        <v>76</v>
      </c>
      <c r="D17" s="10">
        <v>18000.0</v>
      </c>
      <c r="E17" s="9" t="s">
        <v>77</v>
      </c>
      <c r="F17" s="8" t="s">
        <v>31</v>
      </c>
      <c r="G17" s="10">
        <v>11500.0</v>
      </c>
      <c r="H17" s="10">
        <f t="shared" si="1"/>
        <v>-6500</v>
      </c>
      <c r="I17" s="8" t="s">
        <v>21</v>
      </c>
      <c r="J17" s="9" t="s">
        <v>78</v>
      </c>
      <c r="K17" s="13" t="s">
        <v>23</v>
      </c>
      <c r="L17" s="14" t="s">
        <v>80</v>
      </c>
    </row>
    <row r="18">
      <c r="A18" s="7">
        <v>13.0</v>
      </c>
      <c r="B18" s="8" t="s">
        <v>15</v>
      </c>
      <c r="C18" s="9" t="s">
        <v>81</v>
      </c>
      <c r="D18" s="10">
        <v>13589.0</v>
      </c>
      <c r="E18" s="9" t="s">
        <v>82</v>
      </c>
      <c r="F18" s="8" t="s">
        <v>73</v>
      </c>
      <c r="G18" s="10">
        <v>11875.48</v>
      </c>
      <c r="H18" s="10">
        <f t="shared" si="1"/>
        <v>-1713.52</v>
      </c>
      <c r="I18" s="8" t="s">
        <v>21</v>
      </c>
      <c r="J18" s="9" t="s">
        <v>83</v>
      </c>
      <c r="K18" s="13" t="s">
        <v>23</v>
      </c>
      <c r="L18" s="14" t="s">
        <v>24</v>
      </c>
    </row>
    <row r="19">
      <c r="A19" s="7">
        <v>14.0</v>
      </c>
      <c r="B19" s="8" t="s">
        <v>15</v>
      </c>
      <c r="C19" s="9" t="s">
        <v>84</v>
      </c>
      <c r="D19" s="10">
        <v>4750.0</v>
      </c>
      <c r="E19" s="9" t="s">
        <v>85</v>
      </c>
      <c r="F19" s="8" t="s">
        <v>86</v>
      </c>
      <c r="G19" s="10">
        <v>9840.0</v>
      </c>
      <c r="H19" s="10">
        <f t="shared" si="1"/>
        <v>5090</v>
      </c>
      <c r="I19" s="8" t="s">
        <v>21</v>
      </c>
      <c r="J19" s="9" t="s">
        <v>87</v>
      </c>
      <c r="K19" s="13" t="s">
        <v>33</v>
      </c>
      <c r="L19" s="14" t="s">
        <v>88</v>
      </c>
    </row>
    <row r="20">
      <c r="A20" s="7">
        <v>15.0</v>
      </c>
      <c r="B20" s="8" t="s">
        <v>15</v>
      </c>
      <c r="C20" s="9" t="s">
        <v>89</v>
      </c>
      <c r="D20" s="10">
        <v>4890.0</v>
      </c>
      <c r="E20" s="9" t="s">
        <v>90</v>
      </c>
      <c r="F20" s="8" t="s">
        <v>73</v>
      </c>
      <c r="G20" s="10">
        <v>4290.0</v>
      </c>
      <c r="H20" s="10">
        <f t="shared" si="1"/>
        <v>-600</v>
      </c>
      <c r="I20" s="8" t="s">
        <v>21</v>
      </c>
      <c r="J20" s="9" t="s">
        <v>91</v>
      </c>
      <c r="K20" s="13" t="s">
        <v>23</v>
      </c>
      <c r="L20" s="14" t="s">
        <v>24</v>
      </c>
    </row>
    <row r="21" ht="15.75" customHeight="1">
      <c r="A21" s="19">
        <v>16.0</v>
      </c>
      <c r="B21" s="20" t="s">
        <v>46</v>
      </c>
      <c r="C21" s="21" t="s">
        <v>92</v>
      </c>
      <c r="D21" s="22">
        <v>237168.0</v>
      </c>
      <c r="E21" s="21" t="s">
        <v>92</v>
      </c>
      <c r="F21" s="20" t="s">
        <v>93</v>
      </c>
      <c r="G21" s="22">
        <v>132723.16</v>
      </c>
      <c r="H21" s="22">
        <f t="shared" si="1"/>
        <v>-104444.84</v>
      </c>
      <c r="I21" s="20" t="s">
        <v>94</v>
      </c>
      <c r="J21" s="21" t="s">
        <v>95</v>
      </c>
      <c r="K21" s="23" t="s">
        <v>33</v>
      </c>
      <c r="L21" s="21"/>
    </row>
    <row r="22" ht="15.75" customHeight="1">
      <c r="A22" s="19">
        <v>17.0</v>
      </c>
      <c r="B22" s="20" t="s">
        <v>46</v>
      </c>
      <c r="C22" s="21" t="s">
        <v>96</v>
      </c>
      <c r="D22" s="22">
        <v>36386.7</v>
      </c>
      <c r="E22" s="21" t="s">
        <v>96</v>
      </c>
      <c r="F22" s="20" t="s">
        <v>73</v>
      </c>
      <c r="G22" s="22">
        <v>45144.0</v>
      </c>
      <c r="H22" s="22">
        <f t="shared" si="1"/>
        <v>8757.3</v>
      </c>
      <c r="I22" s="20" t="s">
        <v>94</v>
      </c>
      <c r="J22" s="21" t="s">
        <v>97</v>
      </c>
      <c r="K22" s="23" t="s">
        <v>33</v>
      </c>
      <c r="L22" s="21"/>
    </row>
    <row r="23" ht="15.75" customHeight="1">
      <c r="A23" s="19">
        <v>18.0</v>
      </c>
      <c r="B23" s="20" t="s">
        <v>46</v>
      </c>
      <c r="C23" s="21" t="s">
        <v>98</v>
      </c>
      <c r="D23" s="22">
        <v>31303.37</v>
      </c>
      <c r="E23" s="21" t="s">
        <v>99</v>
      </c>
      <c r="F23" s="20" t="s">
        <v>73</v>
      </c>
      <c r="G23" s="22">
        <v>26719.92</v>
      </c>
      <c r="H23" s="22">
        <f t="shared" si="1"/>
        <v>-4583.45</v>
      </c>
      <c r="I23" s="20" t="s">
        <v>94</v>
      </c>
      <c r="J23" s="21" t="s">
        <v>100</v>
      </c>
      <c r="K23" s="23" t="s">
        <v>33</v>
      </c>
      <c r="L23" s="21"/>
    </row>
    <row r="24" ht="15.75" customHeight="1">
      <c r="A24" s="19">
        <v>19.0</v>
      </c>
      <c r="B24" s="20" t="s">
        <v>15</v>
      </c>
      <c r="C24" s="21" t="s">
        <v>101</v>
      </c>
      <c r="D24" s="22">
        <v>28728.2</v>
      </c>
      <c r="E24" s="21" t="s">
        <v>102</v>
      </c>
      <c r="F24" s="20" t="s">
        <v>38</v>
      </c>
      <c r="G24" s="22">
        <v>20604.54</v>
      </c>
      <c r="H24" s="22">
        <f t="shared" si="1"/>
        <v>-8123.66</v>
      </c>
      <c r="I24" s="20" t="s">
        <v>94</v>
      </c>
      <c r="J24" s="21" t="s">
        <v>103</v>
      </c>
      <c r="K24" s="24" t="s">
        <v>23</v>
      </c>
      <c r="L24" s="25" t="s">
        <v>104</v>
      </c>
    </row>
    <row r="25" ht="15.75" customHeight="1">
      <c r="A25" s="19">
        <v>20.0</v>
      </c>
      <c r="B25" s="20" t="s">
        <v>15</v>
      </c>
      <c r="C25" s="21" t="s">
        <v>105</v>
      </c>
      <c r="D25" s="22">
        <v>15012.88</v>
      </c>
      <c r="E25" s="21" t="s">
        <v>106</v>
      </c>
      <c r="F25" s="20" t="s">
        <v>107</v>
      </c>
      <c r="G25" s="22">
        <v>21693.32</v>
      </c>
      <c r="H25" s="22">
        <f t="shared" si="1"/>
        <v>6680.44</v>
      </c>
      <c r="I25" s="20" t="s">
        <v>94</v>
      </c>
      <c r="J25" s="21" t="s">
        <v>108</v>
      </c>
      <c r="K25" s="23" t="s">
        <v>33</v>
      </c>
      <c r="L25" s="21"/>
    </row>
    <row r="26" ht="15.75" customHeight="1">
      <c r="A26" s="19">
        <v>21.0</v>
      </c>
      <c r="B26" s="20" t="s">
        <v>15</v>
      </c>
      <c r="C26" s="21" t="s">
        <v>109</v>
      </c>
      <c r="D26" s="22">
        <v>15619.55</v>
      </c>
      <c r="E26" s="21" t="s">
        <v>110</v>
      </c>
      <c r="F26" s="20" t="s">
        <v>55</v>
      </c>
      <c r="G26" s="22">
        <v>14560.0</v>
      </c>
      <c r="H26" s="22">
        <f t="shared" si="1"/>
        <v>-1059.55</v>
      </c>
      <c r="I26" s="20" t="s">
        <v>94</v>
      </c>
      <c r="J26" s="21" t="s">
        <v>111</v>
      </c>
      <c r="K26" s="23" t="s">
        <v>33</v>
      </c>
      <c r="L26" s="21"/>
    </row>
    <row r="27" ht="15.75" customHeight="1">
      <c r="A27" s="19">
        <v>22.0</v>
      </c>
      <c r="B27" s="20" t="s">
        <v>15</v>
      </c>
      <c r="C27" s="21" t="s">
        <v>112</v>
      </c>
      <c r="D27" s="22">
        <v>14400.0</v>
      </c>
      <c r="E27" s="21" t="s">
        <v>113</v>
      </c>
      <c r="F27" s="20" t="s">
        <v>49</v>
      </c>
      <c r="G27" s="22">
        <v>14400.0</v>
      </c>
      <c r="H27" s="22">
        <f t="shared" si="1"/>
        <v>0</v>
      </c>
      <c r="I27" s="20" t="s">
        <v>94</v>
      </c>
      <c r="J27" s="21" t="s">
        <v>114</v>
      </c>
      <c r="K27" s="23" t="s">
        <v>33</v>
      </c>
      <c r="L27" s="21"/>
    </row>
    <row r="28" ht="15.75" customHeight="1">
      <c r="A28" s="19">
        <v>23.0</v>
      </c>
      <c r="B28" s="20" t="s">
        <v>15</v>
      </c>
      <c r="C28" s="21" t="s">
        <v>115</v>
      </c>
      <c r="D28" s="22">
        <v>90000.0</v>
      </c>
      <c r="E28" s="21" t="s">
        <v>68</v>
      </c>
      <c r="F28" s="20"/>
      <c r="G28" s="22"/>
      <c r="H28" s="22">
        <f t="shared" si="1"/>
        <v>-90000</v>
      </c>
      <c r="I28" s="20" t="s">
        <v>116</v>
      </c>
      <c r="J28" s="21" t="s">
        <v>117</v>
      </c>
      <c r="K28" s="23" t="s">
        <v>23</v>
      </c>
      <c r="L28" s="21"/>
    </row>
    <row r="29" ht="15.75" customHeight="1">
      <c r="A29" s="19">
        <v>24.0</v>
      </c>
      <c r="B29" s="20" t="s">
        <v>15</v>
      </c>
      <c r="C29" s="21" t="s">
        <v>118</v>
      </c>
      <c r="D29" s="22">
        <v>66780.0</v>
      </c>
      <c r="E29" s="21" t="s">
        <v>68</v>
      </c>
      <c r="F29" s="20"/>
      <c r="G29" s="22"/>
      <c r="H29" s="22">
        <f t="shared" si="1"/>
        <v>-66780</v>
      </c>
      <c r="I29" s="20" t="s">
        <v>116</v>
      </c>
      <c r="J29" s="21" t="s">
        <v>119</v>
      </c>
      <c r="K29" s="23" t="s">
        <v>23</v>
      </c>
      <c r="L29" s="21"/>
    </row>
    <row r="30" ht="15.75" customHeight="1">
      <c r="A30" s="19">
        <v>25.0</v>
      </c>
      <c r="B30" s="20" t="s">
        <v>15</v>
      </c>
      <c r="C30" s="21" t="s">
        <v>120</v>
      </c>
      <c r="D30" s="22">
        <v>62400.0</v>
      </c>
      <c r="E30" s="21" t="s">
        <v>68</v>
      </c>
      <c r="F30" s="20"/>
      <c r="G30" s="22"/>
      <c r="H30" s="22">
        <f t="shared" si="1"/>
        <v>-62400</v>
      </c>
      <c r="I30" s="20" t="s">
        <v>116</v>
      </c>
      <c r="J30" s="21" t="s">
        <v>117</v>
      </c>
      <c r="K30" s="23" t="s">
        <v>23</v>
      </c>
      <c r="L30" s="21"/>
    </row>
    <row r="31" ht="15.75" customHeight="1">
      <c r="A31" s="19">
        <v>26.0</v>
      </c>
      <c r="B31" s="20" t="s">
        <v>15</v>
      </c>
      <c r="C31" s="21" t="s">
        <v>121</v>
      </c>
      <c r="D31" s="22">
        <v>45500.0</v>
      </c>
      <c r="E31" s="21" t="s">
        <v>68</v>
      </c>
      <c r="F31" s="20"/>
      <c r="G31" s="22"/>
      <c r="H31" s="22">
        <f t="shared" si="1"/>
        <v>-45500</v>
      </c>
      <c r="I31" s="20" t="s">
        <v>116</v>
      </c>
      <c r="J31" s="21" t="s">
        <v>122</v>
      </c>
      <c r="K31" s="23" t="s">
        <v>23</v>
      </c>
      <c r="L31" s="21"/>
    </row>
    <row r="32" ht="15.75" customHeight="1">
      <c r="A32" s="19">
        <v>27.0</v>
      </c>
      <c r="B32" s="20" t="s">
        <v>15</v>
      </c>
      <c r="C32" s="21" t="s">
        <v>123</v>
      </c>
      <c r="D32" s="22">
        <v>15000.0</v>
      </c>
      <c r="E32" s="21" t="s">
        <v>68</v>
      </c>
      <c r="F32" s="20"/>
      <c r="G32" s="22"/>
      <c r="H32" s="22">
        <f t="shared" si="1"/>
        <v>-15000</v>
      </c>
      <c r="I32" s="20" t="s">
        <v>116</v>
      </c>
      <c r="J32" s="21" t="s">
        <v>117</v>
      </c>
      <c r="K32" s="23" t="s">
        <v>23</v>
      </c>
      <c r="L32" s="21"/>
    </row>
    <row r="33" ht="15.75" customHeight="1">
      <c r="A33" s="19">
        <v>28.0</v>
      </c>
      <c r="B33" s="20" t="s">
        <v>15</v>
      </c>
      <c r="C33" s="21" t="s">
        <v>124</v>
      </c>
      <c r="D33" s="22">
        <v>13500.0</v>
      </c>
      <c r="E33" s="21" t="s">
        <v>68</v>
      </c>
      <c r="F33" s="20"/>
      <c r="G33" s="22"/>
      <c r="H33" s="22">
        <f t="shared" si="1"/>
        <v>-13500</v>
      </c>
      <c r="I33" s="20" t="s">
        <v>116</v>
      </c>
      <c r="J33" s="21" t="s">
        <v>122</v>
      </c>
      <c r="K33" s="23" t="s">
        <v>23</v>
      </c>
      <c r="L33" s="21"/>
    </row>
    <row r="34" ht="15.75" customHeight="1">
      <c r="A34" s="19">
        <v>29.0</v>
      </c>
      <c r="B34" s="20" t="s">
        <v>15</v>
      </c>
      <c r="C34" s="21" t="s">
        <v>125</v>
      </c>
      <c r="D34" s="22">
        <v>13376.81</v>
      </c>
      <c r="E34" s="21" t="s">
        <v>68</v>
      </c>
      <c r="F34" s="20"/>
      <c r="G34" s="22"/>
      <c r="H34" s="22">
        <f t="shared" si="1"/>
        <v>-13376.81</v>
      </c>
      <c r="I34" s="20" t="s">
        <v>116</v>
      </c>
      <c r="J34" s="21" t="s">
        <v>126</v>
      </c>
      <c r="K34" s="23" t="s">
        <v>23</v>
      </c>
      <c r="L34" s="21"/>
    </row>
    <row r="35" ht="15.75" customHeight="1">
      <c r="A35" s="19">
        <v>30.0</v>
      </c>
      <c r="B35" s="20" t="s">
        <v>15</v>
      </c>
      <c r="C35" s="21" t="s">
        <v>127</v>
      </c>
      <c r="D35" s="22">
        <v>12900.0</v>
      </c>
      <c r="E35" s="21" t="s">
        <v>68</v>
      </c>
      <c r="F35" s="20"/>
      <c r="G35" s="22"/>
      <c r="H35" s="22">
        <f t="shared" si="1"/>
        <v>-12900</v>
      </c>
      <c r="I35" s="20" t="s">
        <v>116</v>
      </c>
      <c r="J35" s="21" t="s">
        <v>122</v>
      </c>
      <c r="K35" s="23" t="s">
        <v>23</v>
      </c>
      <c r="L35" s="21"/>
    </row>
    <row r="36" ht="15.75" customHeight="1">
      <c r="A36" s="26">
        <v>31.0</v>
      </c>
      <c r="B36" s="27" t="s">
        <v>15</v>
      </c>
      <c r="C36" s="28" t="s">
        <v>128</v>
      </c>
      <c r="D36" s="29">
        <v>54860.0</v>
      </c>
      <c r="E36" s="28" t="s">
        <v>68</v>
      </c>
      <c r="F36" s="27"/>
      <c r="G36" s="29"/>
      <c r="H36" s="30">
        <f t="shared" si="1"/>
        <v>-54860</v>
      </c>
      <c r="I36" s="27" t="s">
        <v>129</v>
      </c>
      <c r="J36" s="28" t="s">
        <v>130</v>
      </c>
      <c r="K36" s="31"/>
      <c r="L36" s="32" t="s">
        <v>131</v>
      </c>
    </row>
    <row r="37" ht="15.75" customHeight="1">
      <c r="A37" s="26">
        <v>32.0</v>
      </c>
      <c r="B37" s="27" t="s">
        <v>15</v>
      </c>
      <c r="C37" s="28" t="s">
        <v>132</v>
      </c>
      <c r="D37" s="29">
        <v>54000.0</v>
      </c>
      <c r="E37" s="28" t="s">
        <v>68</v>
      </c>
      <c r="F37" s="27"/>
      <c r="G37" s="29"/>
      <c r="H37" s="30">
        <f t="shared" si="1"/>
        <v>-54000</v>
      </c>
      <c r="I37" s="27" t="s">
        <v>129</v>
      </c>
      <c r="J37" s="28" t="s">
        <v>130</v>
      </c>
      <c r="K37" s="31" t="s">
        <v>33</v>
      </c>
      <c r="L37" s="32" t="s">
        <v>131</v>
      </c>
    </row>
    <row r="38" ht="15.75" customHeight="1">
      <c r="A38" s="26">
        <v>33.0</v>
      </c>
      <c r="B38" s="27" t="s">
        <v>15</v>
      </c>
      <c r="C38" s="28" t="s">
        <v>133</v>
      </c>
      <c r="D38" s="29">
        <v>51352.56</v>
      </c>
      <c r="E38" s="28" t="s">
        <v>68</v>
      </c>
      <c r="F38" s="27"/>
      <c r="G38" s="29"/>
      <c r="H38" s="30">
        <f t="shared" si="1"/>
        <v>-51352.56</v>
      </c>
      <c r="I38" s="27" t="s">
        <v>129</v>
      </c>
      <c r="J38" s="28" t="s">
        <v>130</v>
      </c>
      <c r="K38" s="31" t="s">
        <v>33</v>
      </c>
      <c r="L38" s="32" t="s">
        <v>134</v>
      </c>
    </row>
    <row r="39" ht="15.75" customHeight="1">
      <c r="A39" s="26">
        <v>34.0</v>
      </c>
      <c r="B39" s="27" t="s">
        <v>15</v>
      </c>
      <c r="C39" s="28" t="s">
        <v>135</v>
      </c>
      <c r="D39" s="29">
        <v>24170.92</v>
      </c>
      <c r="E39" s="28" t="s">
        <v>68</v>
      </c>
      <c r="F39" s="27"/>
      <c r="G39" s="29"/>
      <c r="H39" s="30">
        <f t="shared" si="1"/>
        <v>-24170.92</v>
      </c>
      <c r="I39" s="27" t="s">
        <v>129</v>
      </c>
      <c r="J39" s="28" t="s">
        <v>130</v>
      </c>
      <c r="K39" s="31" t="s">
        <v>33</v>
      </c>
      <c r="L39" s="32" t="s">
        <v>131</v>
      </c>
    </row>
    <row r="40" ht="15.75" customHeight="1">
      <c r="A40" s="26">
        <v>35.0</v>
      </c>
      <c r="B40" s="27" t="s">
        <v>15</v>
      </c>
      <c r="C40" s="28" t="s">
        <v>136</v>
      </c>
      <c r="D40" s="29">
        <v>15562.23</v>
      </c>
      <c r="E40" s="28" t="s">
        <v>68</v>
      </c>
      <c r="F40" s="27"/>
      <c r="G40" s="29"/>
      <c r="H40" s="30">
        <f t="shared" si="1"/>
        <v>-15562.23</v>
      </c>
      <c r="I40" s="27" t="s">
        <v>129</v>
      </c>
      <c r="J40" s="28" t="s">
        <v>130</v>
      </c>
      <c r="K40" s="31" t="s">
        <v>33</v>
      </c>
      <c r="L40" s="32" t="s">
        <v>131</v>
      </c>
    </row>
    <row r="41" ht="15.75" customHeight="1">
      <c r="A41" s="26">
        <v>36.0</v>
      </c>
      <c r="B41" s="27" t="s">
        <v>15</v>
      </c>
      <c r="C41" s="28" t="s">
        <v>137</v>
      </c>
      <c r="D41" s="29">
        <v>14000.0</v>
      </c>
      <c r="E41" s="28" t="s">
        <v>68</v>
      </c>
      <c r="F41" s="27"/>
      <c r="G41" s="29"/>
      <c r="H41" s="30">
        <f t="shared" si="1"/>
        <v>-14000</v>
      </c>
      <c r="I41" s="27" t="s">
        <v>129</v>
      </c>
      <c r="J41" s="28" t="s">
        <v>130</v>
      </c>
      <c r="K41" s="31" t="s">
        <v>33</v>
      </c>
      <c r="L41" s="32" t="s">
        <v>138</v>
      </c>
    </row>
    <row r="42" ht="15.75" customHeight="1">
      <c r="A42" s="26">
        <v>37.0</v>
      </c>
      <c r="B42" s="27" t="s">
        <v>15</v>
      </c>
      <c r="C42" s="28" t="s">
        <v>139</v>
      </c>
      <c r="D42" s="29">
        <v>12500.0</v>
      </c>
      <c r="E42" s="28" t="s">
        <v>68</v>
      </c>
      <c r="F42" s="27"/>
      <c r="G42" s="29"/>
      <c r="H42" s="30">
        <f t="shared" si="1"/>
        <v>-12500</v>
      </c>
      <c r="I42" s="27" t="s">
        <v>129</v>
      </c>
      <c r="J42" s="28" t="s">
        <v>130</v>
      </c>
      <c r="K42" s="31" t="s">
        <v>23</v>
      </c>
      <c r="L42" s="32" t="s">
        <v>140</v>
      </c>
    </row>
    <row r="43" ht="15.75" customHeight="1">
      <c r="A43" s="26">
        <v>38.0</v>
      </c>
      <c r="B43" s="27" t="s">
        <v>15</v>
      </c>
      <c r="C43" s="28" t="s">
        <v>141</v>
      </c>
      <c r="D43" s="29">
        <v>12000.0</v>
      </c>
      <c r="E43" s="28" t="s">
        <v>68</v>
      </c>
      <c r="F43" s="27"/>
      <c r="G43" s="29"/>
      <c r="H43" s="30">
        <f t="shared" si="1"/>
        <v>-12000</v>
      </c>
      <c r="I43" s="27" t="s">
        <v>129</v>
      </c>
      <c r="J43" s="28" t="s">
        <v>130</v>
      </c>
      <c r="K43" s="31" t="s">
        <v>23</v>
      </c>
      <c r="L43" s="28"/>
    </row>
    <row r="44" ht="15.75" customHeight="1">
      <c r="A44" s="26">
        <v>39.0</v>
      </c>
      <c r="B44" s="27" t="s">
        <v>15</v>
      </c>
      <c r="C44" s="28" t="s">
        <v>142</v>
      </c>
      <c r="D44" s="29">
        <v>11480.0</v>
      </c>
      <c r="E44" s="28" t="s">
        <v>68</v>
      </c>
      <c r="F44" s="27"/>
      <c r="G44" s="29"/>
      <c r="H44" s="30">
        <f t="shared" si="1"/>
        <v>-11480</v>
      </c>
      <c r="I44" s="27" t="s">
        <v>129</v>
      </c>
      <c r="J44" s="28" t="s">
        <v>130</v>
      </c>
      <c r="K44" s="31" t="s">
        <v>23</v>
      </c>
      <c r="L44" s="28"/>
    </row>
    <row r="45" ht="15.75" customHeight="1">
      <c r="A45" s="26">
        <v>40.0</v>
      </c>
      <c r="B45" s="27" t="s">
        <v>15</v>
      </c>
      <c r="C45" s="28" t="s">
        <v>143</v>
      </c>
      <c r="D45" s="29">
        <v>9640.14</v>
      </c>
      <c r="E45" s="28" t="s">
        <v>68</v>
      </c>
      <c r="F45" s="27"/>
      <c r="G45" s="29"/>
      <c r="H45" s="30">
        <f t="shared" si="1"/>
        <v>-9640.14</v>
      </c>
      <c r="I45" s="27" t="s">
        <v>129</v>
      </c>
      <c r="J45" s="28" t="s">
        <v>130</v>
      </c>
      <c r="K45" s="31" t="s">
        <v>33</v>
      </c>
      <c r="L45" s="28"/>
    </row>
    <row r="46" ht="15.75" customHeight="1">
      <c r="A46" s="26">
        <v>41.0</v>
      </c>
      <c r="B46" s="27" t="s">
        <v>15</v>
      </c>
      <c r="C46" s="28" t="s">
        <v>144</v>
      </c>
      <c r="D46" s="29">
        <v>8762.5</v>
      </c>
      <c r="E46" s="28" t="s">
        <v>68</v>
      </c>
      <c r="F46" s="27"/>
      <c r="G46" s="29"/>
      <c r="H46" s="30">
        <f t="shared" si="1"/>
        <v>-8762.5</v>
      </c>
      <c r="I46" s="27" t="s">
        <v>129</v>
      </c>
      <c r="J46" s="28" t="s">
        <v>130</v>
      </c>
      <c r="K46" s="31" t="s">
        <v>33</v>
      </c>
      <c r="L46" s="32" t="s">
        <v>145</v>
      </c>
    </row>
    <row r="47" ht="15.75" customHeight="1">
      <c r="A47" s="26">
        <v>42.0</v>
      </c>
      <c r="B47" s="27" t="s">
        <v>15</v>
      </c>
      <c r="C47" s="28" t="s">
        <v>146</v>
      </c>
      <c r="D47" s="29">
        <v>7900.0</v>
      </c>
      <c r="E47" s="28" t="s">
        <v>68</v>
      </c>
      <c r="F47" s="27"/>
      <c r="G47" s="29"/>
      <c r="H47" s="30">
        <f t="shared" si="1"/>
        <v>-7900</v>
      </c>
      <c r="I47" s="27" t="s">
        <v>129</v>
      </c>
      <c r="J47" s="28" t="s">
        <v>130</v>
      </c>
      <c r="K47" s="31" t="s">
        <v>23</v>
      </c>
      <c r="L47" s="28"/>
    </row>
    <row r="48" ht="15.75" customHeight="1">
      <c r="A48" s="26">
        <v>43.0</v>
      </c>
      <c r="B48" s="27" t="s">
        <v>15</v>
      </c>
      <c r="C48" s="28" t="s">
        <v>147</v>
      </c>
      <c r="D48" s="29">
        <v>5708.0</v>
      </c>
      <c r="E48" s="28" t="s">
        <v>68</v>
      </c>
      <c r="F48" s="27"/>
      <c r="G48" s="29"/>
      <c r="H48" s="30">
        <f t="shared" si="1"/>
        <v>-5708</v>
      </c>
      <c r="I48" s="27" t="s">
        <v>129</v>
      </c>
      <c r="J48" s="28" t="s">
        <v>130</v>
      </c>
      <c r="K48" s="31" t="s">
        <v>33</v>
      </c>
      <c r="L48" s="32" t="s">
        <v>148</v>
      </c>
    </row>
    <row r="49" ht="15.75" customHeight="1">
      <c r="A49" s="26">
        <v>44.0</v>
      </c>
      <c r="B49" s="27" t="s">
        <v>15</v>
      </c>
      <c r="C49" s="28" t="s">
        <v>149</v>
      </c>
      <c r="D49" s="29">
        <v>5000.0</v>
      </c>
      <c r="E49" s="28" t="s">
        <v>68</v>
      </c>
      <c r="F49" s="27"/>
      <c r="G49" s="29"/>
      <c r="H49" s="30">
        <f t="shared" si="1"/>
        <v>-5000</v>
      </c>
      <c r="I49" s="27" t="s">
        <v>129</v>
      </c>
      <c r="J49" s="28" t="s">
        <v>130</v>
      </c>
      <c r="K49" s="31" t="s">
        <v>23</v>
      </c>
      <c r="L49" s="28"/>
    </row>
    <row r="50" ht="15.75" customHeight="1">
      <c r="A50" s="26">
        <v>45.0</v>
      </c>
      <c r="B50" s="27" t="s">
        <v>15</v>
      </c>
      <c r="C50" s="28" t="s">
        <v>150</v>
      </c>
      <c r="D50" s="29">
        <v>3500.0</v>
      </c>
      <c r="E50" s="28" t="s">
        <v>68</v>
      </c>
      <c r="F50" s="27"/>
      <c r="G50" s="29"/>
      <c r="H50" s="30">
        <f t="shared" si="1"/>
        <v>-3500</v>
      </c>
      <c r="I50" s="27" t="s">
        <v>129</v>
      </c>
      <c r="J50" s="28" t="s">
        <v>130</v>
      </c>
      <c r="K50" s="31" t="s">
        <v>23</v>
      </c>
      <c r="L50" s="28"/>
    </row>
    <row r="51" ht="15.75" customHeight="1">
      <c r="A51" s="26">
        <v>46.0</v>
      </c>
      <c r="B51" s="27" t="s">
        <v>15</v>
      </c>
      <c r="C51" s="28" t="s">
        <v>151</v>
      </c>
      <c r="D51" s="29">
        <v>2550.0</v>
      </c>
      <c r="E51" s="28" t="s">
        <v>68</v>
      </c>
      <c r="F51" s="27"/>
      <c r="G51" s="29"/>
      <c r="H51" s="30">
        <f t="shared" si="1"/>
        <v>-2550</v>
      </c>
      <c r="I51" s="27" t="s">
        <v>129</v>
      </c>
      <c r="J51" s="28" t="s">
        <v>130</v>
      </c>
      <c r="K51" s="31" t="s">
        <v>23</v>
      </c>
      <c r="L51" s="28"/>
    </row>
    <row r="52" ht="15.75" customHeight="1">
      <c r="A52" s="26">
        <v>47.0</v>
      </c>
      <c r="B52" s="27" t="s">
        <v>15</v>
      </c>
      <c r="C52" s="28" t="s">
        <v>152</v>
      </c>
      <c r="D52" s="29">
        <v>1800.0</v>
      </c>
      <c r="E52" s="28" t="s">
        <v>68</v>
      </c>
      <c r="F52" s="27"/>
      <c r="G52" s="29"/>
      <c r="H52" s="30">
        <f t="shared" si="1"/>
        <v>-1800</v>
      </c>
      <c r="I52" s="27" t="s">
        <v>129</v>
      </c>
      <c r="J52" s="28" t="s">
        <v>130</v>
      </c>
      <c r="K52" s="31" t="s">
        <v>33</v>
      </c>
      <c r="L52" s="32" t="s">
        <v>145</v>
      </c>
    </row>
    <row r="53" ht="15.75" customHeight="1">
      <c r="A53" s="26">
        <v>48.0</v>
      </c>
      <c r="B53" s="27" t="s">
        <v>15</v>
      </c>
      <c r="C53" s="28" t="s">
        <v>68</v>
      </c>
      <c r="D53" s="29"/>
      <c r="E53" s="28" t="s">
        <v>153</v>
      </c>
      <c r="F53" s="27" t="s">
        <v>154</v>
      </c>
      <c r="G53" s="29">
        <v>107600.0</v>
      </c>
      <c r="H53" s="30">
        <f t="shared" si="1"/>
        <v>107600</v>
      </c>
      <c r="I53" s="27" t="s">
        <v>155</v>
      </c>
      <c r="J53" s="28" t="s">
        <v>156</v>
      </c>
      <c r="K53" s="33"/>
      <c r="L53" s="28"/>
    </row>
    <row r="54" ht="15.75" customHeight="1">
      <c r="A54" s="26">
        <v>49.0</v>
      </c>
      <c r="B54" s="27" t="s">
        <v>46</v>
      </c>
      <c r="C54" s="28" t="s">
        <v>68</v>
      </c>
      <c r="D54" s="29"/>
      <c r="E54" s="28" t="s">
        <v>157</v>
      </c>
      <c r="F54" s="27" t="s">
        <v>158</v>
      </c>
      <c r="G54" s="29">
        <v>91350.0</v>
      </c>
      <c r="H54" s="30">
        <f t="shared" si="1"/>
        <v>91350</v>
      </c>
      <c r="I54" s="27" t="s">
        <v>155</v>
      </c>
      <c r="J54" s="28" t="s">
        <v>156</v>
      </c>
      <c r="K54" s="33"/>
      <c r="L54" s="28"/>
    </row>
    <row r="55" ht="15.75" customHeight="1">
      <c r="A55" s="26">
        <v>50.0</v>
      </c>
      <c r="B55" s="27" t="s">
        <v>15</v>
      </c>
      <c r="C55" s="28" t="s">
        <v>68</v>
      </c>
      <c r="D55" s="29"/>
      <c r="E55" s="28" t="s">
        <v>159</v>
      </c>
      <c r="F55" s="27" t="s">
        <v>160</v>
      </c>
      <c r="G55" s="29">
        <v>71376.33</v>
      </c>
      <c r="H55" s="30">
        <f t="shared" si="1"/>
        <v>71376.33</v>
      </c>
      <c r="I55" s="27" t="s">
        <v>155</v>
      </c>
      <c r="J55" s="28" t="s">
        <v>156</v>
      </c>
      <c r="K55" s="33"/>
      <c r="L55" s="28"/>
    </row>
    <row r="56" ht="15.75" customHeight="1">
      <c r="A56" s="26">
        <v>51.0</v>
      </c>
      <c r="B56" s="27" t="s">
        <v>15</v>
      </c>
      <c r="C56" s="28" t="s">
        <v>68</v>
      </c>
      <c r="D56" s="29"/>
      <c r="E56" s="28" t="s">
        <v>161</v>
      </c>
      <c r="F56" s="27" t="s">
        <v>160</v>
      </c>
      <c r="G56" s="29">
        <v>59497.2</v>
      </c>
      <c r="H56" s="30">
        <f t="shared" si="1"/>
        <v>59497.2</v>
      </c>
      <c r="I56" s="27" t="s">
        <v>155</v>
      </c>
      <c r="J56" s="28" t="s">
        <v>156</v>
      </c>
      <c r="K56" s="33"/>
      <c r="L56" s="28"/>
    </row>
    <row r="57" ht="15.75" customHeight="1">
      <c r="A57" s="26">
        <v>52.0</v>
      </c>
      <c r="B57" s="27" t="s">
        <v>15</v>
      </c>
      <c r="C57" s="28" t="s">
        <v>68</v>
      </c>
      <c r="D57" s="29"/>
      <c r="E57" s="28" t="s">
        <v>162</v>
      </c>
      <c r="F57" s="27" t="s">
        <v>163</v>
      </c>
      <c r="G57" s="29">
        <v>41334.54</v>
      </c>
      <c r="H57" s="30">
        <f t="shared" si="1"/>
        <v>41334.54</v>
      </c>
      <c r="I57" s="27" t="s">
        <v>155</v>
      </c>
      <c r="J57" s="28" t="s">
        <v>156</v>
      </c>
      <c r="K57" s="33"/>
      <c r="L57" s="28"/>
    </row>
    <row r="58" ht="15.75" customHeight="1">
      <c r="A58" s="26">
        <v>53.0</v>
      </c>
      <c r="B58" s="27" t="s">
        <v>15</v>
      </c>
      <c r="C58" s="28" t="s">
        <v>68</v>
      </c>
      <c r="D58" s="29"/>
      <c r="E58" s="28" t="s">
        <v>164</v>
      </c>
      <c r="F58" s="27" t="s">
        <v>107</v>
      </c>
      <c r="G58" s="29">
        <v>36000.0</v>
      </c>
      <c r="H58" s="30">
        <f t="shared" si="1"/>
        <v>36000</v>
      </c>
      <c r="I58" s="27" t="s">
        <v>155</v>
      </c>
      <c r="J58" s="28" t="s">
        <v>156</v>
      </c>
      <c r="K58" s="31" t="s">
        <v>33</v>
      </c>
      <c r="L58" s="28"/>
    </row>
    <row r="59" ht="15.75" customHeight="1">
      <c r="A59" s="26">
        <v>54.0</v>
      </c>
      <c r="B59" s="27" t="s">
        <v>15</v>
      </c>
      <c r="C59" s="28" t="s">
        <v>68</v>
      </c>
      <c r="D59" s="29"/>
      <c r="E59" s="28" t="s">
        <v>165</v>
      </c>
      <c r="F59" s="27" t="s">
        <v>38</v>
      </c>
      <c r="G59" s="29">
        <v>34544.0</v>
      </c>
      <c r="H59" s="30">
        <f t="shared" si="1"/>
        <v>34544</v>
      </c>
      <c r="I59" s="27" t="s">
        <v>155</v>
      </c>
      <c r="J59" s="28" t="s">
        <v>156</v>
      </c>
      <c r="K59" s="33"/>
      <c r="L59" s="28"/>
    </row>
    <row r="60" ht="15.75" customHeight="1">
      <c r="A60" s="26">
        <v>55.0</v>
      </c>
      <c r="B60" s="27" t="s">
        <v>15</v>
      </c>
      <c r="C60" s="28" t="s">
        <v>68</v>
      </c>
      <c r="D60" s="29"/>
      <c r="E60" s="28" t="s">
        <v>166</v>
      </c>
      <c r="F60" s="27" t="s">
        <v>167</v>
      </c>
      <c r="G60" s="29">
        <v>30047.04</v>
      </c>
      <c r="H60" s="30">
        <f t="shared" si="1"/>
        <v>30047.04</v>
      </c>
      <c r="I60" s="27" t="s">
        <v>155</v>
      </c>
      <c r="J60" s="28" t="s">
        <v>156</v>
      </c>
      <c r="K60" s="33"/>
      <c r="L60" s="28"/>
    </row>
    <row r="61" ht="15.75" customHeight="1">
      <c r="A61" s="26">
        <v>56.0</v>
      </c>
      <c r="B61" s="27" t="s">
        <v>15</v>
      </c>
      <c r="C61" s="28" t="s">
        <v>68</v>
      </c>
      <c r="D61" s="29"/>
      <c r="E61" s="28" t="s">
        <v>168</v>
      </c>
      <c r="F61" s="27" t="s">
        <v>169</v>
      </c>
      <c r="G61" s="29">
        <v>30000.0</v>
      </c>
      <c r="H61" s="30">
        <f t="shared" si="1"/>
        <v>30000</v>
      </c>
      <c r="I61" s="27" t="s">
        <v>155</v>
      </c>
      <c r="J61" s="28" t="s">
        <v>156</v>
      </c>
      <c r="K61" s="33"/>
      <c r="L61" s="28"/>
    </row>
    <row r="62" ht="15.75" customHeight="1">
      <c r="A62" s="26">
        <v>57.0</v>
      </c>
      <c r="B62" s="27" t="s">
        <v>15</v>
      </c>
      <c r="C62" s="28" t="s">
        <v>68</v>
      </c>
      <c r="D62" s="29"/>
      <c r="E62" s="28" t="s">
        <v>170</v>
      </c>
      <c r="F62" s="27" t="s">
        <v>154</v>
      </c>
      <c r="G62" s="29">
        <v>30000.0</v>
      </c>
      <c r="H62" s="30">
        <f t="shared" si="1"/>
        <v>30000</v>
      </c>
      <c r="I62" s="27" t="s">
        <v>155</v>
      </c>
      <c r="J62" s="28" t="s">
        <v>156</v>
      </c>
      <c r="K62" s="33"/>
      <c r="L62" s="28"/>
    </row>
    <row r="63" ht="15.75" customHeight="1">
      <c r="A63" s="26">
        <v>58.0</v>
      </c>
      <c r="B63" s="27" t="s">
        <v>15</v>
      </c>
      <c r="C63" s="28" t="s">
        <v>68</v>
      </c>
      <c r="D63" s="29"/>
      <c r="E63" s="28" t="s">
        <v>171</v>
      </c>
      <c r="F63" s="27" t="s">
        <v>163</v>
      </c>
      <c r="G63" s="29">
        <v>26218.14</v>
      </c>
      <c r="H63" s="30">
        <f t="shared" si="1"/>
        <v>26218.14</v>
      </c>
      <c r="I63" s="27" t="s">
        <v>155</v>
      </c>
      <c r="J63" s="28" t="s">
        <v>156</v>
      </c>
      <c r="K63" s="33"/>
      <c r="L63" s="28"/>
    </row>
    <row r="64" ht="15.75" customHeight="1">
      <c r="A64" s="26">
        <v>59.0</v>
      </c>
      <c r="B64" s="27" t="s">
        <v>15</v>
      </c>
      <c r="C64" s="28" t="s">
        <v>68</v>
      </c>
      <c r="D64" s="29"/>
      <c r="E64" s="28" t="s">
        <v>172</v>
      </c>
      <c r="F64" s="27" t="s">
        <v>55</v>
      </c>
      <c r="G64" s="29">
        <v>24318.7</v>
      </c>
      <c r="H64" s="30">
        <f t="shared" si="1"/>
        <v>24318.7</v>
      </c>
      <c r="I64" s="27" t="s">
        <v>155</v>
      </c>
      <c r="J64" s="28" t="s">
        <v>156</v>
      </c>
      <c r="K64" s="33"/>
      <c r="L64" s="28"/>
    </row>
    <row r="65" ht="15.75" customHeight="1">
      <c r="A65" s="26">
        <v>60.0</v>
      </c>
      <c r="B65" s="27" t="s">
        <v>15</v>
      </c>
      <c r="C65" s="28" t="s">
        <v>68</v>
      </c>
      <c r="D65" s="29"/>
      <c r="E65" s="28" t="s">
        <v>173</v>
      </c>
      <c r="F65" s="27" t="s">
        <v>38</v>
      </c>
      <c r="G65" s="29">
        <v>24233.43</v>
      </c>
      <c r="H65" s="30">
        <f t="shared" si="1"/>
        <v>24233.43</v>
      </c>
      <c r="I65" s="27" t="s">
        <v>155</v>
      </c>
      <c r="J65" s="28" t="s">
        <v>156</v>
      </c>
      <c r="K65" s="33"/>
      <c r="L65" s="28"/>
    </row>
    <row r="66" ht="15.75" customHeight="1">
      <c r="A66" s="26">
        <v>61.0</v>
      </c>
      <c r="B66" s="27" t="s">
        <v>15</v>
      </c>
      <c r="C66" s="28" t="s">
        <v>68</v>
      </c>
      <c r="D66" s="29"/>
      <c r="E66" s="28" t="s">
        <v>174</v>
      </c>
      <c r="F66" s="27" t="s">
        <v>154</v>
      </c>
      <c r="G66" s="29">
        <v>18300.0</v>
      </c>
      <c r="H66" s="30">
        <f t="shared" si="1"/>
        <v>18300</v>
      </c>
      <c r="I66" s="27" t="s">
        <v>155</v>
      </c>
      <c r="J66" s="28" t="s">
        <v>156</v>
      </c>
      <c r="K66" s="33"/>
      <c r="L66" s="28"/>
    </row>
    <row r="67" ht="15.75" customHeight="1">
      <c r="A67" s="26">
        <v>62.0</v>
      </c>
      <c r="B67" s="27" t="s">
        <v>15</v>
      </c>
      <c r="C67" s="28" t="s">
        <v>68</v>
      </c>
      <c r="D67" s="29"/>
      <c r="E67" s="28" t="s">
        <v>175</v>
      </c>
      <c r="F67" s="27" t="s">
        <v>176</v>
      </c>
      <c r="G67" s="29">
        <v>18000.0</v>
      </c>
      <c r="H67" s="30">
        <f t="shared" si="1"/>
        <v>18000</v>
      </c>
      <c r="I67" s="27" t="s">
        <v>155</v>
      </c>
      <c r="J67" s="28" t="s">
        <v>156</v>
      </c>
      <c r="K67" s="33"/>
      <c r="L67" s="28"/>
    </row>
    <row r="68" ht="15.75" customHeight="1">
      <c r="A68" s="26">
        <v>63.0</v>
      </c>
      <c r="B68" s="27" t="s">
        <v>15</v>
      </c>
      <c r="C68" s="28" t="s">
        <v>68</v>
      </c>
      <c r="D68" s="29"/>
      <c r="E68" s="28" t="s">
        <v>177</v>
      </c>
      <c r="F68" s="27" t="s">
        <v>38</v>
      </c>
      <c r="G68" s="29">
        <v>16398.92</v>
      </c>
      <c r="H68" s="30">
        <f t="shared" si="1"/>
        <v>16398.92</v>
      </c>
      <c r="I68" s="27" t="s">
        <v>155</v>
      </c>
      <c r="J68" s="28" t="s">
        <v>156</v>
      </c>
      <c r="K68" s="33"/>
      <c r="L68" s="28"/>
    </row>
    <row r="69" ht="15.75" customHeight="1">
      <c r="A69" s="26">
        <v>64.0</v>
      </c>
      <c r="B69" s="27" t="s">
        <v>15</v>
      </c>
      <c r="C69" s="28" t="s">
        <v>68</v>
      </c>
      <c r="D69" s="29"/>
      <c r="E69" s="28" t="s">
        <v>178</v>
      </c>
      <c r="F69" s="27" t="s">
        <v>179</v>
      </c>
      <c r="G69" s="29">
        <v>12000.0</v>
      </c>
      <c r="H69" s="30">
        <f t="shared" si="1"/>
        <v>12000</v>
      </c>
      <c r="I69" s="27" t="s">
        <v>155</v>
      </c>
      <c r="J69" s="28" t="s">
        <v>156</v>
      </c>
      <c r="K69" s="33"/>
      <c r="L69" s="28"/>
    </row>
    <row r="70" ht="15.75" customHeight="1">
      <c r="A70" s="26">
        <v>65.0</v>
      </c>
      <c r="B70" s="27" t="s">
        <v>15</v>
      </c>
      <c r="C70" s="28" t="s">
        <v>68</v>
      </c>
      <c r="D70" s="29"/>
      <c r="E70" s="28" t="s">
        <v>180</v>
      </c>
      <c r="F70" s="27" t="s">
        <v>163</v>
      </c>
      <c r="G70" s="29">
        <v>11700.0</v>
      </c>
      <c r="H70" s="30">
        <f t="shared" si="1"/>
        <v>11700</v>
      </c>
      <c r="I70" s="27" t="s">
        <v>155</v>
      </c>
      <c r="J70" s="28" t="s">
        <v>156</v>
      </c>
      <c r="K70" s="33"/>
      <c r="L70" s="28"/>
    </row>
    <row r="71" ht="15.75" customHeight="1">
      <c r="A71" s="26">
        <v>66.0</v>
      </c>
      <c r="B71" s="27" t="s">
        <v>15</v>
      </c>
      <c r="C71" s="28" t="s">
        <v>68</v>
      </c>
      <c r="D71" s="29"/>
      <c r="E71" s="28" t="s">
        <v>181</v>
      </c>
      <c r="F71" s="27" t="s">
        <v>86</v>
      </c>
      <c r="G71" s="29">
        <v>9900.0</v>
      </c>
      <c r="H71" s="30">
        <f t="shared" si="1"/>
        <v>9900</v>
      </c>
      <c r="I71" s="27" t="s">
        <v>155</v>
      </c>
      <c r="J71" s="28" t="s">
        <v>156</v>
      </c>
      <c r="K71" s="33"/>
      <c r="L71" s="28"/>
    </row>
    <row r="72" ht="15.75" customHeight="1">
      <c r="A72" s="26">
        <v>67.0</v>
      </c>
      <c r="B72" s="27" t="s">
        <v>15</v>
      </c>
      <c r="C72" s="28" t="s">
        <v>68</v>
      </c>
      <c r="D72" s="29"/>
      <c r="E72" s="28" t="s">
        <v>182</v>
      </c>
      <c r="F72" s="27" t="s">
        <v>169</v>
      </c>
      <c r="G72" s="29">
        <v>8746.62</v>
      </c>
      <c r="H72" s="30">
        <f t="shared" si="1"/>
        <v>8746.62</v>
      </c>
      <c r="I72" s="27" t="s">
        <v>155</v>
      </c>
      <c r="J72" s="28" t="s">
        <v>156</v>
      </c>
      <c r="K72" s="33"/>
      <c r="L72" s="28"/>
    </row>
    <row r="73" ht="15.75" customHeight="1">
      <c r="A73" s="26">
        <v>68.0</v>
      </c>
      <c r="B73" s="27" t="s">
        <v>15</v>
      </c>
      <c r="C73" s="28" t="s">
        <v>68</v>
      </c>
      <c r="D73" s="29"/>
      <c r="E73" s="28" t="s">
        <v>183</v>
      </c>
      <c r="F73" s="27" t="s">
        <v>163</v>
      </c>
      <c r="G73" s="29">
        <v>7800.0</v>
      </c>
      <c r="H73" s="30">
        <f t="shared" si="1"/>
        <v>7800</v>
      </c>
      <c r="I73" s="27" t="s">
        <v>155</v>
      </c>
      <c r="J73" s="28" t="s">
        <v>156</v>
      </c>
      <c r="K73" s="33"/>
      <c r="L73" s="28"/>
    </row>
    <row r="74" ht="15.75" customHeight="1">
      <c r="A74" s="26">
        <v>69.0</v>
      </c>
      <c r="B74" s="27" t="s">
        <v>15</v>
      </c>
      <c r="C74" s="28" t="s">
        <v>68</v>
      </c>
      <c r="D74" s="29"/>
      <c r="E74" s="28" t="s">
        <v>184</v>
      </c>
      <c r="F74" s="27" t="s">
        <v>185</v>
      </c>
      <c r="G74" s="29">
        <v>7635.0</v>
      </c>
      <c r="H74" s="30">
        <f t="shared" si="1"/>
        <v>7635</v>
      </c>
      <c r="I74" s="27" t="s">
        <v>155</v>
      </c>
      <c r="J74" s="28" t="s">
        <v>156</v>
      </c>
      <c r="K74" s="33"/>
      <c r="L74" s="28"/>
    </row>
    <row r="75" ht="15.75" customHeight="1">
      <c r="A75" s="26">
        <v>70.0</v>
      </c>
      <c r="B75" s="27" t="s">
        <v>15</v>
      </c>
      <c r="C75" s="28" t="s">
        <v>68</v>
      </c>
      <c r="D75" s="29"/>
      <c r="E75" s="28" t="s">
        <v>186</v>
      </c>
      <c r="F75" s="27" t="s">
        <v>185</v>
      </c>
      <c r="G75" s="29">
        <v>7635.0</v>
      </c>
      <c r="H75" s="30">
        <f t="shared" si="1"/>
        <v>7635</v>
      </c>
      <c r="I75" s="27" t="s">
        <v>155</v>
      </c>
      <c r="J75" s="28" t="s">
        <v>156</v>
      </c>
      <c r="K75" s="33"/>
      <c r="L75" s="28"/>
    </row>
    <row r="76" ht="15.75" customHeight="1">
      <c r="A76" s="26">
        <v>71.0</v>
      </c>
      <c r="B76" s="27" t="s">
        <v>15</v>
      </c>
      <c r="C76" s="28" t="s">
        <v>68</v>
      </c>
      <c r="D76" s="29"/>
      <c r="E76" s="28" t="s">
        <v>187</v>
      </c>
      <c r="F76" s="27" t="s">
        <v>185</v>
      </c>
      <c r="G76" s="29">
        <v>7635.0</v>
      </c>
      <c r="H76" s="30">
        <f t="shared" si="1"/>
        <v>7635</v>
      </c>
      <c r="I76" s="27" t="s">
        <v>155</v>
      </c>
      <c r="J76" s="28" t="s">
        <v>156</v>
      </c>
      <c r="K76" s="33"/>
      <c r="L76" s="28"/>
    </row>
    <row r="77" ht="15.75" customHeight="1">
      <c r="A77" s="26">
        <v>72.0</v>
      </c>
      <c r="B77" s="27" t="s">
        <v>15</v>
      </c>
      <c r="C77" s="28" t="s">
        <v>68</v>
      </c>
      <c r="D77" s="29"/>
      <c r="E77" s="28" t="s">
        <v>188</v>
      </c>
      <c r="F77" s="27" t="s">
        <v>185</v>
      </c>
      <c r="G77" s="29">
        <v>7635.0</v>
      </c>
      <c r="H77" s="30">
        <f t="shared" si="1"/>
        <v>7635</v>
      </c>
      <c r="I77" s="27" t="s">
        <v>155</v>
      </c>
      <c r="J77" s="28" t="s">
        <v>156</v>
      </c>
      <c r="K77" s="33"/>
      <c r="L77" s="28"/>
    </row>
    <row r="78" ht="15.75" customHeight="1">
      <c r="A78" s="26">
        <v>73.0</v>
      </c>
      <c r="B78" s="27" t="s">
        <v>15</v>
      </c>
      <c r="C78" s="28" t="s">
        <v>68</v>
      </c>
      <c r="D78" s="29"/>
      <c r="E78" s="28" t="s">
        <v>189</v>
      </c>
      <c r="F78" s="27" t="s">
        <v>38</v>
      </c>
      <c r="G78" s="29">
        <v>7344.0</v>
      </c>
      <c r="H78" s="30">
        <f t="shared" si="1"/>
        <v>7344</v>
      </c>
      <c r="I78" s="27" t="s">
        <v>155</v>
      </c>
      <c r="J78" s="28" t="s">
        <v>156</v>
      </c>
      <c r="K78" s="33"/>
      <c r="L78" s="28"/>
    </row>
    <row r="79" ht="15.75" customHeight="1">
      <c r="A79" s="26">
        <v>74.0</v>
      </c>
      <c r="B79" s="27" t="s">
        <v>15</v>
      </c>
      <c r="C79" s="28" t="s">
        <v>68</v>
      </c>
      <c r="D79" s="29"/>
      <c r="E79" s="28" t="s">
        <v>190</v>
      </c>
      <c r="F79" s="27" t="s">
        <v>160</v>
      </c>
      <c r="G79" s="29">
        <v>5500.0</v>
      </c>
      <c r="H79" s="30">
        <f t="shared" si="1"/>
        <v>5500</v>
      </c>
      <c r="I79" s="27" t="s">
        <v>155</v>
      </c>
      <c r="J79" s="28" t="s">
        <v>156</v>
      </c>
      <c r="K79" s="33"/>
      <c r="L79" s="28"/>
    </row>
    <row r="80" ht="15.75" customHeight="1">
      <c r="A80" s="26">
        <v>75.0</v>
      </c>
      <c r="B80" s="27" t="s">
        <v>15</v>
      </c>
      <c r="C80" s="28" t="s">
        <v>68</v>
      </c>
      <c r="D80" s="29"/>
      <c r="E80" s="28" t="s">
        <v>191</v>
      </c>
      <c r="F80" s="27" t="s">
        <v>192</v>
      </c>
      <c r="G80" s="29">
        <v>2855.0</v>
      </c>
      <c r="H80" s="30">
        <f t="shared" si="1"/>
        <v>2855</v>
      </c>
      <c r="I80" s="27" t="s">
        <v>155</v>
      </c>
      <c r="J80" s="28" t="s">
        <v>156</v>
      </c>
      <c r="K80" s="33"/>
      <c r="L80" s="28"/>
    </row>
    <row r="81" ht="15.75" customHeight="1">
      <c r="A81" s="26">
        <v>76.0</v>
      </c>
      <c r="B81" s="27" t="s">
        <v>15</v>
      </c>
      <c r="C81" s="28" t="s">
        <v>68</v>
      </c>
      <c r="D81" s="29"/>
      <c r="E81" s="28" t="s">
        <v>193</v>
      </c>
      <c r="F81" s="27" t="s">
        <v>169</v>
      </c>
      <c r="G81" s="29">
        <v>2000.0</v>
      </c>
      <c r="H81" s="30">
        <f t="shared" si="1"/>
        <v>2000</v>
      </c>
      <c r="I81" s="27" t="s">
        <v>155</v>
      </c>
      <c r="J81" s="28" t="s">
        <v>156</v>
      </c>
      <c r="K81" s="33"/>
      <c r="L81" s="28"/>
    </row>
    <row r="82" ht="15.75" customHeight="1">
      <c r="A82" s="26">
        <v>77.0</v>
      </c>
      <c r="B82" s="27" t="s">
        <v>15</v>
      </c>
      <c r="C82" s="28" t="s">
        <v>68</v>
      </c>
      <c r="D82" s="29"/>
      <c r="E82" s="28" t="s">
        <v>194</v>
      </c>
      <c r="F82" s="27" t="s">
        <v>195</v>
      </c>
      <c r="G82" s="29">
        <v>2000.0</v>
      </c>
      <c r="H82" s="30">
        <f t="shared" si="1"/>
        <v>2000</v>
      </c>
      <c r="I82" s="27" t="s">
        <v>155</v>
      </c>
      <c r="J82" s="28" t="s">
        <v>156</v>
      </c>
      <c r="K82" s="33"/>
      <c r="L82" s="28"/>
    </row>
    <row r="83" ht="15.75" customHeight="1">
      <c r="A83" s="26">
        <v>78.0</v>
      </c>
      <c r="B83" s="27" t="s">
        <v>15</v>
      </c>
      <c r="C83" s="28" t="s">
        <v>68</v>
      </c>
      <c r="D83" s="29"/>
      <c r="E83" s="28" t="s">
        <v>196</v>
      </c>
      <c r="F83" s="27" t="s">
        <v>27</v>
      </c>
      <c r="G83" s="29">
        <v>1898.0</v>
      </c>
      <c r="H83" s="30">
        <f t="shared" si="1"/>
        <v>1898</v>
      </c>
      <c r="I83" s="27" t="s">
        <v>155</v>
      </c>
      <c r="J83" s="28" t="s">
        <v>156</v>
      </c>
      <c r="K83" s="33"/>
      <c r="L83" s="28"/>
    </row>
    <row r="84" ht="15.75" customHeight="1">
      <c r="A84" s="26">
        <v>79.0</v>
      </c>
      <c r="B84" s="27" t="s">
        <v>15</v>
      </c>
      <c r="C84" s="28" t="s">
        <v>68</v>
      </c>
      <c r="D84" s="29"/>
      <c r="E84" s="28" t="s">
        <v>197</v>
      </c>
      <c r="F84" s="27" t="s">
        <v>163</v>
      </c>
      <c r="G84" s="29">
        <v>1731.6</v>
      </c>
      <c r="H84" s="30">
        <f t="shared" si="1"/>
        <v>1731.6</v>
      </c>
      <c r="I84" s="27" t="s">
        <v>155</v>
      </c>
      <c r="J84" s="28" t="s">
        <v>156</v>
      </c>
      <c r="K84" s="33"/>
      <c r="L84" s="28"/>
    </row>
    <row r="85" ht="15.75" customHeight="1">
      <c r="A85" s="26">
        <v>80.0</v>
      </c>
      <c r="B85" s="27" t="s">
        <v>15</v>
      </c>
      <c r="C85" s="28" t="s">
        <v>68</v>
      </c>
      <c r="D85" s="29"/>
      <c r="E85" s="28" t="s">
        <v>198</v>
      </c>
      <c r="F85" s="27" t="s">
        <v>199</v>
      </c>
      <c r="G85" s="29">
        <v>1560.0</v>
      </c>
      <c r="H85" s="30">
        <f t="shared" si="1"/>
        <v>1560</v>
      </c>
      <c r="I85" s="27" t="s">
        <v>155</v>
      </c>
      <c r="J85" s="28" t="s">
        <v>156</v>
      </c>
      <c r="K85" s="33"/>
      <c r="L85" s="28"/>
    </row>
    <row r="86" ht="15.75" customHeight="1">
      <c r="K86" s="34"/>
    </row>
    <row r="87" ht="15.75" customHeight="1">
      <c r="K87" s="34"/>
    </row>
    <row r="88" ht="15.75" customHeight="1">
      <c r="K88" s="34"/>
    </row>
    <row r="89" ht="15.75" customHeight="1">
      <c r="K89" s="34"/>
    </row>
    <row r="90" ht="15.75" customHeight="1">
      <c r="K90" s="34"/>
    </row>
    <row r="91" ht="15.75" customHeight="1">
      <c r="K91" s="34"/>
    </row>
    <row r="92" ht="15.75" customHeight="1">
      <c r="K92" s="34"/>
    </row>
    <row r="93" ht="15.75" customHeight="1">
      <c r="K93" s="34"/>
    </row>
    <row r="94" ht="15.75" customHeight="1">
      <c r="K94" s="34"/>
    </row>
    <row r="95" ht="15.75" customHeight="1">
      <c r="K95" s="34"/>
    </row>
    <row r="96" ht="15.75" customHeight="1">
      <c r="K96" s="34"/>
    </row>
    <row r="97" ht="15.75" customHeight="1">
      <c r="K97" s="34"/>
    </row>
    <row r="98" ht="15.75" customHeight="1">
      <c r="K98" s="34"/>
    </row>
    <row r="99" ht="15.75" customHeight="1">
      <c r="K99" s="34"/>
    </row>
    <row r="100" ht="15.75" customHeight="1">
      <c r="K100" s="34"/>
    </row>
    <row r="101" ht="15.75" customHeight="1">
      <c r="K101" s="34"/>
    </row>
    <row r="102" ht="15.75" customHeight="1">
      <c r="K102" s="34"/>
    </row>
    <row r="103" ht="15.75" customHeight="1">
      <c r="K103" s="34"/>
    </row>
    <row r="104" ht="15.75" customHeight="1">
      <c r="K104" s="34"/>
    </row>
    <row r="105" ht="15.75" customHeight="1">
      <c r="K105" s="34"/>
    </row>
    <row r="106" ht="15.75" customHeight="1">
      <c r="K106" s="34"/>
    </row>
    <row r="107" ht="15.75" customHeight="1">
      <c r="K107" s="34"/>
    </row>
    <row r="108" ht="15.75" customHeight="1">
      <c r="K108" s="34"/>
    </row>
    <row r="109" ht="15.75" customHeight="1">
      <c r="K109" s="34"/>
    </row>
    <row r="110" ht="15.75" customHeight="1">
      <c r="K110" s="34"/>
    </row>
    <row r="111" ht="15.75" customHeight="1">
      <c r="K111" s="34"/>
    </row>
    <row r="112" ht="15.75" customHeight="1">
      <c r="K112" s="34"/>
    </row>
    <row r="113" ht="15.75" customHeight="1">
      <c r="K113" s="34"/>
    </row>
    <row r="114" ht="15.75" customHeight="1">
      <c r="K114" s="34"/>
    </row>
    <row r="115" ht="15.75" customHeight="1">
      <c r="K115" s="34"/>
    </row>
    <row r="116" ht="15.75" customHeight="1">
      <c r="K116" s="34"/>
    </row>
    <row r="117" ht="15.75" customHeight="1">
      <c r="K117" s="34"/>
    </row>
    <row r="118" ht="15.75" customHeight="1">
      <c r="K118" s="34"/>
    </row>
    <row r="119" ht="15.75" customHeight="1">
      <c r="K119" s="34"/>
    </row>
    <row r="120" ht="15.75" customHeight="1">
      <c r="K120" s="34"/>
    </row>
    <row r="121" ht="15.75" customHeight="1">
      <c r="K121" s="34"/>
    </row>
    <row r="122" ht="15.75" customHeight="1">
      <c r="K122" s="34"/>
    </row>
    <row r="123" ht="15.75" customHeight="1">
      <c r="K123" s="34"/>
    </row>
    <row r="124" ht="15.75" customHeight="1">
      <c r="K124" s="34"/>
    </row>
    <row r="125" ht="15.75" customHeight="1">
      <c r="K125" s="34"/>
    </row>
    <row r="126" ht="15.75" customHeight="1">
      <c r="K126" s="34"/>
    </row>
    <row r="127" ht="15.75" customHeight="1">
      <c r="K127" s="34"/>
    </row>
    <row r="128" ht="15.75" customHeight="1">
      <c r="K128" s="34"/>
    </row>
    <row r="129" ht="15.75" customHeight="1">
      <c r="K129" s="34"/>
    </row>
    <row r="130" ht="15.75" customHeight="1">
      <c r="K130" s="34"/>
    </row>
    <row r="131" ht="15.75" customHeight="1">
      <c r="K131" s="34"/>
    </row>
    <row r="132" ht="15.75" customHeight="1">
      <c r="K132" s="34"/>
    </row>
    <row r="133" ht="15.75" customHeight="1">
      <c r="K133" s="34"/>
    </row>
    <row r="134" ht="15.75" customHeight="1">
      <c r="K134" s="34"/>
    </row>
    <row r="135" ht="15.75" customHeight="1">
      <c r="K135" s="34"/>
    </row>
    <row r="136" ht="15.75" customHeight="1">
      <c r="K136" s="34"/>
    </row>
    <row r="137" ht="15.75" customHeight="1">
      <c r="K137" s="34"/>
    </row>
    <row r="138" ht="15.75" customHeight="1">
      <c r="K138" s="34"/>
    </row>
    <row r="139" ht="15.75" customHeight="1">
      <c r="K139" s="34"/>
    </row>
    <row r="140" ht="15.75" customHeight="1">
      <c r="K140" s="34"/>
    </row>
    <row r="141" ht="15.75" customHeight="1">
      <c r="K141" s="34"/>
    </row>
    <row r="142" ht="15.75" customHeight="1">
      <c r="K142" s="34"/>
    </row>
    <row r="143" ht="15.75" customHeight="1">
      <c r="K143" s="34"/>
    </row>
    <row r="144" ht="15.75" customHeight="1">
      <c r="K144" s="34"/>
    </row>
    <row r="145" ht="15.75" customHeight="1">
      <c r="K145" s="34"/>
    </row>
    <row r="146" ht="15.75" customHeight="1">
      <c r="K146" s="34"/>
    </row>
    <row r="147" ht="15.75" customHeight="1">
      <c r="K147" s="34"/>
    </row>
    <row r="148" ht="15.75" customHeight="1">
      <c r="K148" s="34"/>
    </row>
    <row r="149" ht="15.75" customHeight="1">
      <c r="K149" s="34"/>
    </row>
    <row r="150" ht="15.75" customHeight="1">
      <c r="K150" s="34"/>
    </row>
    <row r="151" ht="15.75" customHeight="1">
      <c r="K151" s="34"/>
    </row>
    <row r="152" ht="15.75" customHeight="1">
      <c r="K152" s="34"/>
    </row>
    <row r="153" ht="15.75" customHeight="1">
      <c r="K153" s="34"/>
    </row>
    <row r="154" ht="15.75" customHeight="1">
      <c r="K154" s="34"/>
    </row>
    <row r="155" ht="15.75" customHeight="1">
      <c r="K155" s="34"/>
    </row>
    <row r="156" ht="15.75" customHeight="1">
      <c r="K156" s="34"/>
    </row>
    <row r="157" ht="15.75" customHeight="1">
      <c r="K157" s="34"/>
    </row>
    <row r="158" ht="15.75" customHeight="1">
      <c r="K158" s="34"/>
    </row>
    <row r="159" ht="15.75" customHeight="1">
      <c r="K159" s="34"/>
    </row>
    <row r="160" ht="15.75" customHeight="1">
      <c r="K160" s="34"/>
    </row>
    <row r="161" ht="15.75" customHeight="1">
      <c r="K161" s="34"/>
    </row>
    <row r="162" ht="15.75" customHeight="1">
      <c r="K162" s="34"/>
    </row>
    <row r="163" ht="15.75" customHeight="1">
      <c r="K163" s="34"/>
    </row>
    <row r="164" ht="15.75" customHeight="1">
      <c r="K164" s="34"/>
    </row>
    <row r="165" ht="15.75" customHeight="1">
      <c r="K165" s="34"/>
    </row>
    <row r="166" ht="15.75" customHeight="1">
      <c r="K166" s="34"/>
    </row>
    <row r="167" ht="15.75" customHeight="1">
      <c r="K167" s="34"/>
    </row>
    <row r="168" ht="15.75" customHeight="1">
      <c r="K168" s="34"/>
    </row>
    <row r="169" ht="15.75" customHeight="1">
      <c r="K169" s="34"/>
    </row>
    <row r="170" ht="15.75" customHeight="1">
      <c r="K170" s="34"/>
    </row>
    <row r="171" ht="15.75" customHeight="1">
      <c r="K171" s="34"/>
    </row>
    <row r="172" ht="15.75" customHeight="1">
      <c r="K172" s="34"/>
    </row>
    <row r="173" ht="15.75" customHeight="1">
      <c r="K173" s="34"/>
    </row>
    <row r="174" ht="15.75" customHeight="1">
      <c r="K174" s="34"/>
    </row>
    <row r="175" ht="15.75" customHeight="1">
      <c r="K175" s="34"/>
    </row>
    <row r="176" ht="15.75" customHeight="1">
      <c r="K176" s="34"/>
    </row>
    <row r="177" ht="15.75" customHeight="1">
      <c r="K177" s="34"/>
    </row>
    <row r="178" ht="15.75" customHeight="1">
      <c r="K178" s="34"/>
    </row>
    <row r="179" ht="15.75" customHeight="1">
      <c r="K179" s="34"/>
    </row>
    <row r="180" ht="15.75" customHeight="1">
      <c r="K180" s="34"/>
    </row>
    <row r="181" ht="15.75" customHeight="1">
      <c r="K181" s="34"/>
    </row>
    <row r="182" ht="15.75" customHeight="1">
      <c r="K182" s="34"/>
    </row>
    <row r="183" ht="15.75" customHeight="1">
      <c r="K183" s="34"/>
    </row>
    <row r="184" ht="15.75" customHeight="1">
      <c r="K184" s="34"/>
    </row>
    <row r="185" ht="15.75" customHeight="1">
      <c r="K185" s="34"/>
    </row>
    <row r="186" ht="15.75" customHeight="1">
      <c r="K186" s="34"/>
    </row>
    <row r="187" ht="15.75" customHeight="1">
      <c r="K187" s="34"/>
    </row>
    <row r="188" ht="15.75" customHeight="1">
      <c r="K188" s="34"/>
    </row>
    <row r="189" ht="15.75" customHeight="1">
      <c r="K189" s="34"/>
    </row>
    <row r="190" ht="15.75" customHeight="1">
      <c r="K190" s="34"/>
    </row>
    <row r="191" ht="15.75" customHeight="1">
      <c r="K191" s="34"/>
    </row>
    <row r="192" ht="15.75" customHeight="1">
      <c r="K192" s="34"/>
    </row>
    <row r="193" ht="15.75" customHeight="1">
      <c r="K193" s="34"/>
    </row>
    <row r="194" ht="15.75" customHeight="1">
      <c r="K194" s="34"/>
    </row>
    <row r="195" ht="15.75" customHeight="1">
      <c r="K195" s="34"/>
    </row>
    <row r="196" ht="15.75" customHeight="1">
      <c r="K196" s="34"/>
    </row>
    <row r="197" ht="15.75" customHeight="1">
      <c r="K197" s="34"/>
    </row>
    <row r="198" ht="15.75" customHeight="1">
      <c r="K198" s="34"/>
    </row>
    <row r="199" ht="15.75" customHeight="1">
      <c r="K199" s="34"/>
    </row>
    <row r="200" ht="15.75" customHeight="1">
      <c r="K200" s="34"/>
    </row>
    <row r="201" ht="15.75" customHeight="1">
      <c r="K201" s="34"/>
    </row>
    <row r="202" ht="15.75" customHeight="1">
      <c r="K202" s="34"/>
    </row>
    <row r="203" ht="15.75" customHeight="1">
      <c r="K203" s="34"/>
    </row>
    <row r="204" ht="15.75" customHeight="1">
      <c r="K204" s="34"/>
    </row>
    <row r="205" ht="15.75" customHeight="1">
      <c r="K205" s="34"/>
    </row>
    <row r="206" ht="15.75" customHeight="1">
      <c r="K206" s="34"/>
    </row>
    <row r="207" ht="15.75" customHeight="1">
      <c r="K207" s="34"/>
    </row>
    <row r="208" ht="15.75" customHeight="1">
      <c r="K208" s="34"/>
    </row>
    <row r="209" ht="15.75" customHeight="1">
      <c r="K209" s="34"/>
    </row>
    <row r="210" ht="15.75" customHeight="1">
      <c r="K210" s="34"/>
    </row>
    <row r="211" ht="15.75" customHeight="1">
      <c r="K211" s="34"/>
    </row>
    <row r="212" ht="15.75" customHeight="1">
      <c r="K212" s="34"/>
    </row>
    <row r="213" ht="15.75" customHeight="1">
      <c r="K213" s="34"/>
    </row>
    <row r="214" ht="15.75" customHeight="1">
      <c r="K214" s="34"/>
    </row>
    <row r="215" ht="15.75" customHeight="1">
      <c r="K215" s="34"/>
    </row>
    <row r="216" ht="15.75" customHeight="1">
      <c r="K216" s="34"/>
    </row>
    <row r="217" ht="15.75" customHeight="1">
      <c r="K217" s="34"/>
    </row>
    <row r="218" ht="15.75" customHeight="1">
      <c r="K218" s="34"/>
    </row>
    <row r="219" ht="15.75" customHeight="1">
      <c r="K219" s="34"/>
    </row>
    <row r="220" ht="15.75" customHeight="1">
      <c r="K220" s="34"/>
    </row>
    <row r="221" ht="15.75" customHeight="1">
      <c r="K221" s="34"/>
    </row>
    <row r="222" ht="15.75" customHeight="1">
      <c r="K222" s="34"/>
    </row>
    <row r="223" ht="15.75" customHeight="1">
      <c r="K223" s="34"/>
    </row>
    <row r="224" ht="15.75" customHeight="1">
      <c r="K224" s="34"/>
    </row>
    <row r="225" ht="15.75" customHeight="1">
      <c r="K225" s="34"/>
    </row>
    <row r="226" ht="15.75" customHeight="1">
      <c r="K226" s="34"/>
    </row>
    <row r="227" ht="15.75" customHeight="1">
      <c r="K227" s="34"/>
    </row>
    <row r="228" ht="15.75" customHeight="1">
      <c r="K228" s="34"/>
    </row>
    <row r="229" ht="15.75" customHeight="1">
      <c r="K229" s="34"/>
    </row>
    <row r="230" ht="15.75" customHeight="1">
      <c r="K230" s="34"/>
    </row>
    <row r="231" ht="15.75" customHeight="1">
      <c r="K231" s="34"/>
    </row>
    <row r="232" ht="15.75" customHeight="1">
      <c r="K232" s="34"/>
    </row>
    <row r="233" ht="15.75" customHeight="1">
      <c r="K233" s="34"/>
    </row>
    <row r="234" ht="15.75" customHeight="1">
      <c r="K234" s="34"/>
    </row>
    <row r="235" ht="15.75" customHeight="1">
      <c r="K235" s="34"/>
    </row>
    <row r="236" ht="15.75" customHeight="1">
      <c r="K236" s="34"/>
    </row>
    <row r="237" ht="15.75" customHeight="1">
      <c r="K237" s="34"/>
    </row>
    <row r="238" ht="15.75" customHeight="1">
      <c r="K238" s="34"/>
    </row>
    <row r="239" ht="15.75" customHeight="1">
      <c r="K239" s="34"/>
    </row>
    <row r="240" ht="15.75" customHeight="1">
      <c r="K240" s="34"/>
    </row>
    <row r="241" ht="15.75" customHeight="1">
      <c r="K241" s="34"/>
    </row>
    <row r="242" ht="15.75" customHeight="1">
      <c r="K242" s="34"/>
    </row>
    <row r="243" ht="15.75" customHeight="1">
      <c r="K243" s="34"/>
    </row>
    <row r="244" ht="15.75" customHeight="1">
      <c r="K244" s="34"/>
    </row>
    <row r="245" ht="15.75" customHeight="1">
      <c r="K245" s="34"/>
    </row>
    <row r="246" ht="15.75" customHeight="1">
      <c r="K246" s="34"/>
    </row>
    <row r="247" ht="15.75" customHeight="1">
      <c r="K247" s="34"/>
    </row>
    <row r="248" ht="15.75" customHeight="1">
      <c r="K248" s="34"/>
    </row>
    <row r="249" ht="15.75" customHeight="1">
      <c r="K249" s="34"/>
    </row>
    <row r="250" ht="15.75" customHeight="1">
      <c r="K250" s="34"/>
    </row>
    <row r="251" ht="15.75" customHeight="1">
      <c r="K251" s="34"/>
    </row>
    <row r="252" ht="15.75" customHeight="1">
      <c r="K252" s="34"/>
    </row>
    <row r="253" ht="15.75" customHeight="1">
      <c r="K253" s="34"/>
    </row>
    <row r="254" ht="15.75" customHeight="1">
      <c r="K254" s="34"/>
    </row>
    <row r="255" ht="15.75" customHeight="1">
      <c r="K255" s="34"/>
    </row>
    <row r="256" ht="15.75" customHeight="1">
      <c r="K256" s="34"/>
    </row>
    <row r="257" ht="15.75" customHeight="1">
      <c r="K257" s="34"/>
    </row>
    <row r="258" ht="15.75" customHeight="1">
      <c r="K258" s="34"/>
    </row>
    <row r="259" ht="15.75" customHeight="1">
      <c r="K259" s="34"/>
    </row>
    <row r="260" ht="15.75" customHeight="1">
      <c r="K260" s="34"/>
    </row>
    <row r="261" ht="15.75" customHeight="1">
      <c r="K261" s="34"/>
    </row>
    <row r="262" ht="15.75" customHeight="1">
      <c r="K262" s="34"/>
    </row>
    <row r="263" ht="15.75" customHeight="1">
      <c r="K263" s="34"/>
    </row>
    <row r="264" ht="15.75" customHeight="1">
      <c r="K264" s="34"/>
    </row>
    <row r="265" ht="15.75" customHeight="1">
      <c r="K265" s="34"/>
    </row>
    <row r="266" ht="15.75" customHeight="1">
      <c r="K266" s="34"/>
    </row>
    <row r="267" ht="15.75" customHeight="1">
      <c r="K267" s="34"/>
    </row>
    <row r="268" ht="15.75" customHeight="1">
      <c r="K268" s="34"/>
    </row>
    <row r="269" ht="15.75" customHeight="1">
      <c r="K269" s="34"/>
    </row>
    <row r="270" ht="15.75" customHeight="1">
      <c r="K270" s="34"/>
    </row>
    <row r="271" ht="15.75" customHeight="1">
      <c r="K271" s="34"/>
    </row>
    <row r="272" ht="15.75" customHeight="1">
      <c r="K272" s="34"/>
    </row>
    <row r="273" ht="15.75" customHeight="1">
      <c r="K273" s="34"/>
    </row>
    <row r="274" ht="15.75" customHeight="1">
      <c r="K274" s="34"/>
    </row>
    <row r="275" ht="15.75" customHeight="1">
      <c r="K275" s="34"/>
    </row>
    <row r="276" ht="15.75" customHeight="1">
      <c r="K276" s="34"/>
    </row>
    <row r="277" ht="15.75" customHeight="1">
      <c r="K277" s="34"/>
    </row>
    <row r="278" ht="15.75" customHeight="1">
      <c r="K278" s="34"/>
    </row>
    <row r="279" ht="15.75" customHeight="1">
      <c r="K279" s="34"/>
    </row>
    <row r="280" ht="15.75" customHeight="1">
      <c r="K280" s="34"/>
    </row>
    <row r="281" ht="15.75" customHeight="1">
      <c r="K281" s="34"/>
    </row>
    <row r="282" ht="15.75" customHeight="1">
      <c r="K282" s="34"/>
    </row>
    <row r="283" ht="15.75" customHeight="1">
      <c r="K283" s="34"/>
    </row>
    <row r="284" ht="15.75" customHeight="1">
      <c r="K284" s="34"/>
    </row>
    <row r="285" ht="15.75" customHeight="1">
      <c r="K285" s="34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L$85"/>
  <dataValidations>
    <dataValidation type="list" allowBlank="1" sqref="K6:K285">
      <formula1>"SIM,NÃO"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8.0"/>
    <col customWidth="1" min="3" max="26" width="8.71"/>
  </cols>
  <sheetData>
    <row r="1">
      <c r="A1" s="11" t="s">
        <v>19</v>
      </c>
    </row>
    <row r="3">
      <c r="A3" s="12" t="s">
        <v>20</v>
      </c>
      <c r="B3" s="15">
        <f>SUM('Comparação'!D6:D1000)</f>
        <v>1790938.04</v>
      </c>
    </row>
    <row r="4">
      <c r="A4" s="12" t="s">
        <v>35</v>
      </c>
      <c r="B4" s="15">
        <f>SUM('Comparação'!G6:G1000)</f>
        <v>2294654.1</v>
      </c>
    </row>
    <row r="5">
      <c r="A5" s="12" t="s">
        <v>41</v>
      </c>
      <c r="B5" s="15">
        <f>SUMIFS('Comparação'!D6:D1000,'Comparação'!K6:K1000,"SIM")</f>
        <v>848178.72</v>
      </c>
    </row>
    <row r="6">
      <c r="A6" s="12" t="s">
        <v>50</v>
      </c>
      <c r="B6" s="15">
        <f>SUMIFS('Comparação'!G6:G1000,'Comparação'!K6:K1000,"SIM")</f>
        <v>741623.56</v>
      </c>
    </row>
    <row r="7">
      <c r="A7" s="12" t="s">
        <v>57</v>
      </c>
      <c r="B7" s="15">
        <f>B6-B5</f>
        <v>-106555.16</v>
      </c>
    </row>
    <row r="8">
      <c r="A8" s="12" t="s">
        <v>61</v>
      </c>
      <c r="B8" s="16">
        <f>IF(B5=0,0,B6/B5-1)</f>
        <v>-0.1256281931</v>
      </c>
    </row>
    <row r="9">
      <c r="A9" s="12" t="s">
        <v>69</v>
      </c>
      <c r="B9" s="17">
        <f>COUNTIF('Comparação'!K6:K1000,"SIM")</f>
        <v>21</v>
      </c>
    </row>
    <row r="10">
      <c r="A10" s="12" t="s">
        <v>74</v>
      </c>
      <c r="B10" s="17">
        <f>COUNTIFS('Comparação'!I6:I1000,"Dúvida",'Comparação'!K6:K1000,"")</f>
        <v>0</v>
      </c>
    </row>
    <row r="12">
      <c r="A12" s="18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2026-10-07T01:18:30Z</dcterms:created>
  <dc:creator>openpyxl</dc:creator>
</cp:coreProperties>
</file>