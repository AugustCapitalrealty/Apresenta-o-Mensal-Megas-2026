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ção" sheetId="1" r:id="rId4"/>
    <sheet state="visible" name="Resumo" sheetId="2" r:id="rId5"/>
  </sheets>
  <definedNames>
    <definedName hidden="1" localSheetId="0" name="_xlnm._FilterDatabase">'Comparação'!$A$5:$L$73</definedName>
  </definedNames>
  <calcPr/>
  <extLst>
    <ext uri="GoogleSheetsCustomDataVersion2">
      <go:sheetsCustomData xmlns:go="http://customooxmlschemas.google.com/" r:id="rId6" roundtripDataChecksum="XgS59+q+grIfcIpb/hAY0D8XurlQS7CX+/xb4vQRM48="/>
    </ext>
  </extLst>
</workbook>
</file>

<file path=xl/sharedStrings.xml><?xml version="1.0" encoding="utf-8"?>
<sst xmlns="http://schemas.openxmlformats.org/spreadsheetml/2006/main" count="477" uniqueCount="184">
  <si>
    <t>Manutenção de imóveis — Mega Esteio · itens do Orç 2026 × Orç 2027</t>
  </si>
  <si>
    <t>Resumo da comparação (atualiza sozinho com as marcações)</t>
  </si>
  <si>
    <t>Preencha a coluna COMPARA? com SIM ou NÃO nas linhas amarelas (dúvidas). As outras já vêm com a leitura da análise e podem ser trocadas. Só os pares com SIM entram na comparação item a item da apresentação.</t>
  </si>
  <si>
    <t>Total Orç 2026 (R$)</t>
  </si>
  <si>
    <t>Orç 2026: "MESTRA - ORÇAMENTO 2026 ITEM A ITEM" (centro de custo do condomínio) + "MESTRA - CONTRATOS 2026". Orç 2027: modelo 090 + "MESTRA - CONTRATOS 2027". Orç 2026: R$ 4.500 acima da METRAGEM-COND. Orç 2027: R$ 15.268 acima (as duas linhas de vida, out).</t>
  </si>
  <si>
    <t>#</t>
  </si>
  <si>
    <t>Tipo</t>
  </si>
  <si>
    <t>Item no Orç 2026</t>
  </si>
  <si>
    <t>Orç 2026</t>
  </si>
  <si>
    <t>Item(ns) no Orç 2027</t>
  </si>
  <si>
    <t>Categoria 2027</t>
  </si>
  <si>
    <t>Orç 2027</t>
  </si>
  <si>
    <t>Δ R$</t>
  </si>
  <si>
    <t>Leitura da análise</t>
  </si>
  <si>
    <t>Por quê</t>
  </si>
  <si>
    <t>COMPARA?</t>
  </si>
  <si>
    <t>Comentário do gestor</t>
  </si>
  <si>
    <t>Avulso</t>
  </si>
  <si>
    <t>Manutenção nas juntas de dilatação contenção #14813862</t>
  </si>
  <si>
    <t>MANUTENÇÃO DE JUNTA DILATAÇAÕ TERRAE AMRMAZÉM A (T1, T3 E T7) + MANUTENÇÃO DE JUNTA DILATAÇÃO TERRAE ARMAZÉM B (T5 E T6)</t>
  </si>
  <si>
    <t>CONTENÇÃO</t>
  </si>
  <si>
    <t>Total Orç 2027 (R$)</t>
  </si>
  <si>
    <t>Itens marcados SIM — Orç 2026 (R$)</t>
  </si>
  <si>
    <t>Dúvida</t>
  </si>
  <si>
    <t>Juntas de dilatação da contenção nos dois anos (2027: taludes dos armazéns A e B). Continuação do serviço ou repetição?</t>
  </si>
  <si>
    <t>SIM</t>
  </si>
  <si>
    <t>Importante que base que usou para comparar é somente do A em 2026</t>
  </si>
  <si>
    <t>Itens marcados SIM — Orç 2027 (R$)</t>
  </si>
  <si>
    <t>Pacote serralheira *10917019 *12943732</t>
  </si>
  <si>
    <t>COMPRA DE INSUMOS DE MATERIAIS DE CONSTRUÇÃO ZELADORIA</t>
  </si>
  <si>
    <t>INSUMOS</t>
  </si>
  <si>
    <t>Os dois são verba para pequenos reparos, mas um é serralheria e o outro material de construção para o zelador.</t>
  </si>
  <si>
    <t>NÃO</t>
  </si>
  <si>
    <t>São coisas diferentes</t>
  </si>
  <si>
    <t>Variação dos itens que comparam (R$)</t>
  </si>
  <si>
    <t>Substituir lona totem #14592624</t>
  </si>
  <si>
    <t>SUBSTITUIÇÃO POR VIDA ÚTIL DA LONA DO MEGA (POSTO)</t>
  </si>
  <si>
    <t>PUBLICIDADE</t>
  </si>
  <si>
    <t>Troca de lona nos dois anos: 2026 a do totem, 2027 a do posto. É a mesma lona?</t>
  </si>
  <si>
    <t>Variação dos itens que comparam (%)</t>
  </si>
  <si>
    <t>Provisão reparo sistemas de acesso</t>
  </si>
  <si>
    <t>—</t>
  </si>
  <si>
    <t>Sem verba de acesso em 2027 (Curitiba e Itajaí passam a ter o contrato FM Security). Ficou de fora do orçamento?</t>
  </si>
  <si>
    <t>Ficou fora... Mas a base de compraração será a linha de manutenções não previstas de 3%</t>
  </si>
  <si>
    <t>Provisão gastos CFTV</t>
  </si>
  <si>
    <t>Sem verba de CFTV em 2027 (ver a linha de cima).</t>
  </si>
  <si>
    <t>Juntas das placas nas paredes na fase 03 (fundos módulos 07 ao 11)#13890191 #13890216</t>
  </si>
  <si>
    <t>MANUTENÇÃO DE JUNTA DE DILATAÇÃO ENTRE PLACAS DE FECHAMENTO (LATERAL M12)</t>
  </si>
  <si>
    <t>REVESTIMENTO</t>
  </si>
  <si>
    <t>Juntas das placas de fechamento nos dois anos: 2026 fundos dos módulos 07 a 11; 2027 lateral M12. Mesmo serviço em outra parede?</t>
  </si>
  <si>
    <t>Compara, mas são áreas diferentes.</t>
  </si>
  <si>
    <t>Preventiva bombas de drenagem</t>
  </si>
  <si>
    <t>MANUTENÇÃO PREVENTIVA ANUAL DA COMPORTA AMZ A + MANUTENÇÃO PREVENTIVA ANUAL DA COMPORTA AMZ B</t>
  </si>
  <si>
    <t>HIDRÁULICA</t>
  </si>
  <si>
    <t>2026: preventiva das bombas de drenagem; 2027: preventiva das comportas (A e B). Mesmo sistema?</t>
  </si>
  <si>
    <t>Peças para painéis elétricos (substituir disjuntores e contatoras do sinistro)</t>
  </si>
  <si>
    <t>VERBA PARA MANUTENÇÃO DE COMPONENTES NOS QUADROS (ELEVATÓRIAS)</t>
  </si>
  <si>
    <t>ELÉTRICA</t>
  </si>
  <si>
    <t>Pares marcados SIM</t>
  </si>
  <si>
    <t>2026: peças para os painéis (sinistro); 2027: verba para componentes dos quadros das elevatórias. Mesma verba?</t>
  </si>
  <si>
    <t>Contrato</t>
  </si>
  <si>
    <t>CONTRATO — ADS MANUTENÇÃO PREDIAL</t>
  </si>
  <si>
    <t>CONTRATO — ADS MANUTENÇÃO PREDIAL + ADITIVO CONTRATO MANUTENÇÃO COBERTURA NO B1</t>
  </si>
  <si>
    <t>COBERTURA</t>
  </si>
  <si>
    <t>Compara</t>
  </si>
  <si>
    <t>Mesmo contrato de cobertura, com aditivo para o B1 em 2027.</t>
  </si>
  <si>
    <t>Dúvidas ainda sem resposta</t>
  </si>
  <si>
    <t>CONTRATO — ARC SOLUÇÕES NO COMBATE A INCENDIO</t>
  </si>
  <si>
    <t>ALTERAÇÃO DO CONTRATO SDAI (RESCISÃO ARC) - ARMAZÉM A E B</t>
  </si>
  <si>
    <t>PPCI</t>
  </si>
  <si>
    <t>Mesmo serviço (SDAI): o contrato da ARC foi rescindido e entra um novo em 2027 (+22%).</t>
  </si>
  <si>
    <t>CONTRATO — Subestação Energia</t>
  </si>
  <si>
    <t>Mesmo contrato (subestação). Sobe de R$ 15 mil para R$ 67 mil: confirmar se 2026 teve só parte do ano.</t>
  </si>
  <si>
    <t>Fonte: aba Comparação (Mega Esteio; Orç 2026 = mestras de 2026; Orç 2027 = modelo 090 + "MESTRA - CONTRATOS 2027").</t>
  </si>
  <si>
    <t>Em 2027 entra o Armazém B1 e B2</t>
  </si>
  <si>
    <t>Preventiva/Limpeza das elevatórias</t>
  </si>
  <si>
    <t>SUCCÇÃO E LIMPEZA SEMESTRAL DAS ELEVATÓRIAS (ARMAZÉM A E B)</t>
  </si>
  <si>
    <t>HIDROSSANITÁRIO</t>
  </si>
  <si>
    <t>Mesmo serviço: limpeza das elevatórias. Triplica em 2027 (semestral, armazéns A e B).</t>
  </si>
  <si>
    <t>Considerar unificação dos Armazéns... Entra B1 e B2 e deixa de ser anual e passa a ser semestral</t>
  </si>
  <si>
    <t>Laudo linha de vida</t>
  </si>
  <si>
    <t>LAUDO DE LINHA DE VIDA ARMAZÉM A - ALPENDRE + LAUDO DE LINHA DE VIDA ARMAZÉM A - COBERTURA + LAUDO DE LINHA DE VIDA ARMAZÉM B2 - ALPENDRE + LAUDO DE LINHA DE VIDA ARMAZÉM B2 - COBERTURA DO DOCAS - 125M2 + LAUDO DE LINHA DE VIDA ARMAZÉM B2 - COBERTURA ARMAZÉM 400M2</t>
  </si>
  <si>
    <t>SCPQ</t>
  </si>
  <si>
    <t>Mesmo serviço; em 2027 são cinco laudos (um por cobertura e alpendre).</t>
  </si>
  <si>
    <t>Correto. São 5 lihas de vida a serem laudadas</t>
  </si>
  <si>
    <t>Provisão manutenções emergências</t>
  </si>
  <si>
    <t>PROVISÃO DE 3% SOBRE A MANUTENÇÃO PARA ITENS NÃO PREVISTOS</t>
  </si>
  <si>
    <t>MANUTENÇÃO EMERGENCIAL</t>
  </si>
  <si>
    <t>As duas são a reserva para o que não foi previsto (em 2027, 3% do pacote).</t>
  </si>
  <si>
    <t>CONTRATO — MANUTENÇÃO GERADOR</t>
  </si>
  <si>
    <t>Mesmo contrato (gerador). Sobe de R$ 10 mil para R$ 28 mil: confirmar se 2026 teve só parte do ano.</t>
  </si>
  <si>
    <t>Preventiva Limpeza fossas</t>
  </si>
  <si>
    <t>SUCÇÃO E LIMPEZA DO STE (SEMESTRAL) - FOSSA E FILTRO - ARMAZÉM A + SUCÇÃO E LIMPEZA DO STE (SEMESTRAL) - FOSSA E FILTRO - ARMAZÉM B</t>
  </si>
  <si>
    <t>Mesmo serviço: limpeza das fossas (STE), em 2027 aberta por armazém.</t>
  </si>
  <si>
    <t>Provisão para iluminação da área comum/manutenções elétricas</t>
  </si>
  <si>
    <t>VERBA PARA SUBSTITUIÇÃO DE LÂMPADAS NO CONDOMÍNIO</t>
  </si>
  <si>
    <t>As duas são verba para a iluminação da área comum.</t>
  </si>
  <si>
    <t>Preventiva/PAE Brigada/ extintores</t>
  </si>
  <si>
    <t>TREINAMENTO ANUAL DE BRIGADA DE INCÊNDIO DO ARMAZÉM A + RENOVAÇÃO DO PLANO DE EMERGÊNCIA DO ARMAZÉM A COM ART + RENOVAÇÃO DO PLANO DE EMERGÊNCIA DO ARMAZÉM B COM ART + RENOVAÇÃO DE CARGA DE EXTINTORES E LAUDO HIDROSTÁTICO DE MANGUEIRAS</t>
  </si>
  <si>
    <t>Em 2026 era um item só; em 2027 virou quatro (brigada, PAE dos dois armazéns e extintores).</t>
  </si>
  <si>
    <t>Preventiva condicionadores de ar</t>
  </si>
  <si>
    <t>REVISÃO E MANUTENÇÃO DOS ARES CONDICIONADOS CONFORME PMOC</t>
  </si>
  <si>
    <t>MANUTENÇÃO PREVENTIVA</t>
  </si>
  <si>
    <t>Mesmo serviço (preventiva PMOC); mais que dobra em 2027.</t>
  </si>
  <si>
    <t>Adequação do contrato para premissa do PMOC (aumento de inspeções e manutenções)</t>
  </si>
  <si>
    <t>Provisão para demarcação de pátio</t>
  </si>
  <si>
    <t>RENOVAÇÃO DE DEMARCAÇÃO SEMESTRAL ENTRADA (PORTARIA A E B) - SOMENTE MATERIAL + RENOVAÇÃO DE DEMERCAÇÃO ANUAL FRENTE DE DOCAS (FAIXAS) - SOMENTE MATERIAL</t>
  </si>
  <si>
    <t>SINALIZAÇÃO VIÁRIA</t>
  </si>
  <si>
    <t>Mesmo serviço: demarcação do pátio, em 2027 aberta por área.</t>
  </si>
  <si>
    <t>Renovação SPDA</t>
  </si>
  <si>
    <t>MEDIÇÕES, AFERIÇÕES E LAUDO DO SPDA (ARMAZÉM A E B)</t>
  </si>
  <si>
    <t>Mesmo serviço: laudo do SPDA.</t>
  </si>
  <si>
    <t>Rota de Fuga</t>
  </si>
  <si>
    <t>Não compara</t>
  </si>
  <si>
    <t>Obra pontual de 2026.</t>
  </si>
  <si>
    <t>Pintura total do reservatório 02 #14527327</t>
  </si>
  <si>
    <t>MANUTENÇÃO DA ESTRUTURA METÁLICA DO RESERVATÓRIO B2</t>
  </si>
  <si>
    <t>RESERVATÓRIO</t>
  </si>
  <si>
    <t>Pintura pontual de 2026; em 2027 o reservatório B2 está com R$ 1 (retirado).</t>
  </si>
  <si>
    <t>Cabeçote, juntas e pistões/ trator 2 #14745887</t>
  </si>
  <si>
    <t>Trator: em 2027 os tratores não estão na manutenção de imóveis (ver Manutenção de máquinas e equipamentos, R$ 146 mil).</t>
  </si>
  <si>
    <t>Foi pontual</t>
  </si>
  <si>
    <t>Escada para acesso espaço lazer *6046204</t>
  </si>
  <si>
    <t>Preventiva tratores</t>
  </si>
  <si>
    <t>Trator: em 2027 os tratores não estão na manutenção de imóveis (ver Manutenção de máquinas e equipamentos).</t>
  </si>
  <si>
    <t>Compara, mas está em linha separada... Entra em Manutençoes de Bens Móveis</t>
  </si>
  <si>
    <t>Manutenção elétrica trator 01 (substituição dos chicotes) #14592319</t>
  </si>
  <si>
    <t>Provisão Manutenção corretiva tratores</t>
  </si>
  <si>
    <t>Manutenção/revisão bomba tratores</t>
  </si>
  <si>
    <t>Poste iluminação régua *13292798</t>
  </si>
  <si>
    <t>Preventiva -  Av. Standard (drenagem) -  Limpeza de caixas de passagem e hidrojateamento</t>
  </si>
  <si>
    <t>LIMPEZA E DESASSOREAMENTO PERIÓDICO NAS CAIXAS DE PASSAGEM - ARMAZÉM A</t>
  </si>
  <si>
    <t>PLUVIAL</t>
  </si>
  <si>
    <t>Em 2027 o item existe com R$ 1 (retirado do orçamento).</t>
  </si>
  <si>
    <t>Equipamentos Espaço Lazer #10337495</t>
  </si>
  <si>
    <t>Compra pontual de 2026.</t>
  </si>
  <si>
    <t>Preventiva PPCI/bomba SPK</t>
  </si>
  <si>
    <t>REVISÃO ANUAL DA BOMBA DE SPK - ARMAZÉM A - RETIRADO DO ORÇAMENTO + REVISÃO ANUAL DA BOMBA DE SPK - ARMAZÉM B1 E B2 - RETIRADO DO ORÇAMENTO</t>
  </si>
  <si>
    <t>Em 2027 os itens existem com R$ 1 (retirados do orçamento).</t>
  </si>
  <si>
    <t>Compra de ar condicionado #14596535</t>
  </si>
  <si>
    <t>Provisão de Manutenção corretivas bombas de drenagem</t>
  </si>
  <si>
    <t>Só 2026</t>
  </si>
  <si>
    <t>Sem item parecido em 2027.</t>
  </si>
  <si>
    <t>Comprar com os 3% de manutenções não previstas em 2027</t>
  </si>
  <si>
    <t>Provisão gastos PPCI</t>
  </si>
  <si>
    <t>Provisão cercas perimetrais e elétricas</t>
  </si>
  <si>
    <t>Preventiva sistema de PPCI com teste NFPA</t>
  </si>
  <si>
    <t>Provisão Paisagismo</t>
  </si>
  <si>
    <t>Provisão gastos com comunicação visual</t>
  </si>
  <si>
    <t>Preventiva Limpeza caixa de água/com laudo</t>
  </si>
  <si>
    <t>SERVIÇO DE LIMPEZA DAS TELHAS METÁLICAS DE FECHAMENTO DO ARMAZÉM A E B2 (2 PARCELAS)</t>
  </si>
  <si>
    <t>METÁLICA</t>
  </si>
  <si>
    <t>Só 2027</t>
  </si>
  <si>
    <t>Item novo, sem par em 2026.</t>
  </si>
  <si>
    <t>PINTURA ALVENARIA FACHADA LATERAL M1 E M12 - ARMAZÉM A</t>
  </si>
  <si>
    <t>IMPERMEABILIZAÇÃO LAJE DA SUBESTAÇÃO DO ARMAZÉM A</t>
  </si>
  <si>
    <t>IMPERMEABILIZAÇÃO LAJE DA SUBESTAÇÃO DO ARMAZÉM B2</t>
  </si>
  <si>
    <t>PINTURA EXTERNA ALVENARIA PRÉDIOS ÁREAS COMUNS (AMZ A)</t>
  </si>
  <si>
    <t>REVISÃO E MANUTENÇÃO PREVENTIVA DAS VÁLVULAS DE GOVERNO (VGAS) | AMZ A</t>
  </si>
  <si>
    <t>SUBSTITUIÇÃO DO PORTÃO E ESTRUTURA DE ENTRADA DO B2</t>
  </si>
  <si>
    <t>COMPRA DE 2 CAÇAMBAS METÁLICAS PARA CENTRALIZAÇÃO DOS RESÍDUOS  ARMAZÉM B</t>
  </si>
  <si>
    <t>EQUIPAMENTOS</t>
  </si>
  <si>
    <t>INSTALAÇÃO DE MAQUINA RENTBRELLA ARMAZÉM A</t>
  </si>
  <si>
    <t>CONTRATO</t>
  </si>
  <si>
    <t>INSTALAÇÃO DE MAQUINA RENTBRELLA ARMAZÉM B</t>
  </si>
  <si>
    <t>PINTURA DE TUBULAÇÃO DO SISTEMA DE INCÊNDIO (AMZ A)</t>
  </si>
  <si>
    <t>INSTALAÇÃO DE LINHA DE VIDA VERTICAL NA ESCADA MARINHEIRO AMZ A</t>
  </si>
  <si>
    <t>INSTALAÇÃO DE LINHA DE VIDA VERTICAL NA ESCADA MARINHEIRO AMZ B2</t>
  </si>
  <si>
    <t>COMPRA DE CONTENTORES DE LIXO CONTEMAR 1000 L (4 UND AMZ A)</t>
  </si>
  <si>
    <t>KIT ESTAÇÃO DE MONITORAMENTO CANAL DE DRENAGEM</t>
  </si>
  <si>
    <t>MONITORAMENTO</t>
  </si>
  <si>
    <t>REVISÃO SEMESTRAL DOS BEBEDOUROS (AMZ A E B)</t>
  </si>
  <si>
    <t>COMPRA DE CONTENTORES DE LIXO CONTEMAR 1000L (2 UND AMZ B)</t>
  </si>
  <si>
    <t>KIT MONITORAMENTO RESERVATÓRIO POTÁVEL E HIDRANTE (ARMAZÉM A)</t>
  </si>
  <si>
    <t>KIT MONITORAMENTO RESERVATÓRIO SPK (ARMAZÉM A)</t>
  </si>
  <si>
    <t>KIT MONITORAMENTO RESERVATÓRIO ARMAZÉM B1</t>
  </si>
  <si>
    <t>KIT MONITORAMENTO RESERVATÓRIO ARMAZÉM B2</t>
  </si>
  <si>
    <t>KIT MONITORAMENTO CANAL DE DRENAGEM</t>
  </si>
  <si>
    <t>COMPRA DE PURIFICADOR DE ÁGUA PARA SALA ADMINISTRATIVA HE OXI TOP LIFE</t>
  </si>
  <si>
    <t>EQUPAMENTOS</t>
  </si>
  <si>
    <t>LIMPEZA DA GALERIA PRÓXIMO A COMPORTA B2 - RETIRADO DO ORÇAMENTO</t>
  </si>
  <si>
    <t>SUBSTITUIÇÃO E MANUTENÇÃO DE PISO PODOTÁTIL (PORTARIA A)</t>
  </si>
  <si>
    <t>INSTALAÇÃO DE PONTO DE ÁGUA PARA BEBEDOURO (RETIRAR COMPRA GALÕES)</t>
  </si>
  <si>
    <t>PINTURA ALVENARIA SUBESTAÇÃO ARMAZÉM 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</si>
</sst>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 #,##0;-&quot;R$&quot; #,##0;&quot;–&quot;"/>
    <numFmt numFmtId="165" formatCode="0.0%"/>
  </numFmts>
  <fonts count="14">
    <font>
      <sz val="11.0"/>
      <color theme="1"/>
      <name val="Calibri"/>
      <scheme val="minor"/>
    </font>
    <font>
      <b/>
      <sz val="13.0"/>
      <color rgb="FF151E49"/>
      <name val="Arial"/>
    </font>
    <font>
      <b/>
      <sz val="12.0"/>
      <color rgb="FF151E49"/>
      <name val="Arial"/>
    </font>
    <font>
      <sz val="9.0"/>
      <color rgb="FF475569"/>
      <name val="Arial"/>
    </font>
    <font>
      <sz val="9.0"/>
      <color rgb="FF94A3B8"/>
      <name val="Arial"/>
    </font>
    <font>
      <sz val="10.0"/>
      <color theme="1"/>
      <name val="Arial"/>
    </font>
    <font>
      <b/>
      <sz val="9.0"/>
      <color rgb="FFFFFFFF"/>
      <name val="Arial"/>
    </font>
    <font>
      <sz val="9.0"/>
      <color rgb="FF151E49"/>
      <name val="Arial"/>
    </font>
    <font>
      <b/>
      <sz val="10.0"/>
      <color rgb="FF151E49"/>
      <name val="Arial"/>
    </font>
    <font>
      <b/>
      <sz val="9.0"/>
      <color rgb="FF151E49"/>
      <name val="Arial"/>
    </font>
    <font>
      <sz val="8.0"/>
      <color rgb="FF94A3B8"/>
      <name val="Arial"/>
    </font>
    <font>
      <b/>
      <sz val="9.0"/>
      <color rgb="FF94A3B8"/>
      <name val="Arial"/>
    </font>
    <font>
      <i/>
      <sz val="9.0"/>
      <color rgb="FF94A3B8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51E49"/>
        <bgColor rgb="FF151E49"/>
      </patternFill>
    </fill>
    <fill>
      <patternFill patternType="solid">
        <fgColor rgb="FFF97316"/>
        <bgColor rgb="FFF97316"/>
      </patternFill>
    </fill>
    <fill>
      <patternFill patternType="solid">
        <fgColor rgb="FFFEF3C7"/>
        <bgColor rgb="FFFEF3C7"/>
      </patternFill>
    </fill>
    <fill>
      <patternFill patternType="solid">
        <fgColor rgb="FFFDE68A"/>
        <bgColor rgb="FFFDE68A"/>
      </patternFill>
    </fill>
    <fill>
      <patternFill patternType="solid">
        <fgColor rgb="FFF8FAFC"/>
        <bgColor rgb="FFF8FAFC"/>
      </patternFill>
    </fill>
  </fills>
  <borders count="3">
    <border/>
    <border>
      <left/>
      <right/>
      <top/>
      <bottom/>
    </border>
    <border>
      <bottom style="thin">
        <color rgb="FFE2E8F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ill="1" applyFont="1">
      <alignment horizontal="center" vertical="top"/>
    </xf>
    <xf borderId="2" fillId="4" fontId="7" numFmtId="0" xfId="0" applyAlignment="1" applyBorder="1" applyFill="1" applyFont="1">
      <alignment vertical="top"/>
    </xf>
    <xf borderId="2" fillId="4" fontId="7" numFmtId="0" xfId="0" applyAlignment="1" applyBorder="1" applyFill="1" applyFont="1">
      <alignment shrinkToFit="0" vertical="top" wrapText="1"/>
    </xf>
    <xf borderId="2" fillId="4" fontId="7" numFmtId="164" xfId="0" applyAlignment="1" applyBorder="1" applyFill="1" applyFont="1" applyNumberFormat="1">
      <alignment vertical="top"/>
    </xf>
    <xf borderId="0" fillId="0" fontId="8" numFmtId="164" xfId="0" applyFont="1" applyNumberFormat="1"/>
    <xf borderId="2" fillId="5" fontId="9" numFmtId="0" xfId="0" applyAlignment="1" applyBorder="1" applyFill="1" applyFont="1">
      <alignment horizontal="center" readingOrder="0" vertical="top"/>
    </xf>
    <xf borderId="2" fillId="4" fontId="7" numFmtId="0" xfId="0" applyAlignment="1" applyBorder="1" applyFill="1" applyFont="1">
      <alignment readingOrder="0" shrinkToFit="0" vertical="top" wrapText="1"/>
    </xf>
    <xf borderId="2" fillId="5" fontId="9" numFmtId="0" xfId="0" applyAlignment="1" applyBorder="1" applyFill="1" applyFont="1">
      <alignment horizontal="center" vertical="top"/>
    </xf>
    <xf borderId="0" fillId="0" fontId="8" numFmtId="165" xfId="0" applyFont="1" applyNumberFormat="1"/>
    <xf borderId="2" fillId="0" fontId="7" numFmtId="0" xfId="0" applyAlignment="1" applyBorder="1" applyFont="1">
      <alignment horizontal="center" vertical="top"/>
    </xf>
    <xf borderId="2" fillId="0" fontId="7" numFmtId="0" xfId="0" applyAlignment="1" applyBorder="1" applyFont="1">
      <alignment vertical="top"/>
    </xf>
    <xf borderId="2" fillId="0" fontId="7" numFmtId="0" xfId="0" applyAlignment="1" applyBorder="1" applyFont="1">
      <alignment shrinkToFit="0" vertical="top" wrapText="1"/>
    </xf>
    <xf borderId="2" fillId="0" fontId="7" numFmtId="164" xfId="0" applyAlignment="1" applyBorder="1" applyFont="1" applyNumberFormat="1">
      <alignment vertical="top"/>
    </xf>
    <xf borderId="0" fillId="0" fontId="8" numFmtId="3" xfId="0" applyFont="1" applyNumberFormat="1"/>
    <xf borderId="2" fillId="0" fontId="9" numFmtId="0" xfId="0" applyAlignment="1" applyBorder="1" applyFont="1">
      <alignment horizontal="center" vertical="top"/>
    </xf>
    <xf borderId="0" fillId="0" fontId="10" numFmtId="0" xfId="0" applyFont="1"/>
    <xf borderId="2" fillId="0" fontId="7" numFmtId="0" xfId="0" applyAlignment="1" applyBorder="1" applyFont="1">
      <alignment readingOrder="0" shrinkToFit="0" vertical="top" wrapText="1"/>
    </xf>
    <xf borderId="2" fillId="0" fontId="9" numFmtId="0" xfId="0" applyAlignment="1" applyBorder="1" applyFont="1">
      <alignment horizontal="center" readingOrder="0" vertical="top"/>
    </xf>
    <xf borderId="2" fillId="6" fontId="4" numFmtId="0" xfId="0" applyAlignment="1" applyBorder="1" applyFill="1" applyFont="1">
      <alignment horizontal="center" vertical="top"/>
    </xf>
    <xf borderId="2" fillId="6" fontId="4" numFmtId="0" xfId="0" applyAlignment="1" applyBorder="1" applyFill="1" applyFont="1">
      <alignment vertical="top"/>
    </xf>
    <xf borderId="2" fillId="6" fontId="4" numFmtId="0" xfId="0" applyAlignment="1" applyBorder="1" applyFill="1" applyFont="1">
      <alignment shrinkToFit="0" vertical="top" wrapText="1"/>
    </xf>
    <xf borderId="2" fillId="6" fontId="7" numFmtId="164" xfId="0" applyAlignment="1" applyBorder="1" applyFill="1" applyFont="1" applyNumberFormat="1">
      <alignment vertical="top"/>
    </xf>
    <xf borderId="2" fillId="6" fontId="4" numFmtId="164" xfId="0" applyAlignment="1" applyBorder="1" applyFill="1" applyFont="1" applyNumberFormat="1">
      <alignment vertical="top"/>
    </xf>
    <xf borderId="2" fillId="6" fontId="11" numFmtId="0" xfId="0" applyAlignment="1" applyBorder="1" applyFill="1" applyFont="1">
      <alignment horizontal="center" readingOrder="0" vertical="top"/>
    </xf>
    <xf borderId="2" fillId="6" fontId="12" numFmtId="0" xfId="0" applyAlignment="1" applyBorder="1" applyFill="1" applyFont="1">
      <alignment readingOrder="0" shrinkToFit="0" vertical="top" wrapText="1"/>
    </xf>
    <xf borderId="2" fillId="6" fontId="11" numFmtId="0" xfId="0" applyAlignment="1" applyBorder="1" applyFill="1" applyFont="1">
      <alignment horizontal="center" vertical="top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42.0"/>
    <col customWidth="1" min="4" max="4" width="13.0"/>
    <col customWidth="1" min="5" max="5" width="52.0"/>
    <col customWidth="1" min="6" max="6" width="18.0"/>
    <col customWidth="1" min="7" max="8" width="13.0"/>
    <col customWidth="1" min="9" max="9" width="14.0"/>
    <col customWidth="1" min="10" max="10" width="60.0"/>
    <col customWidth="1" min="11" max="11" width="12.0"/>
    <col customWidth="1" min="12" max="12" width="30.0"/>
    <col customWidth="1" min="13" max="26" width="8.71"/>
  </cols>
  <sheetData>
    <row r="1">
      <c r="A1" s="1" t="s">
        <v>0</v>
      </c>
    </row>
    <row r="2">
      <c r="A2" s="3" t="s">
        <v>2</v>
      </c>
    </row>
    <row r="3">
      <c r="A3" s="4" t="s">
        <v>4</v>
      </c>
    </row>
    <row r="5" ht="25.5" customHeight="1">
      <c r="A5" s="6" t="s">
        <v>5</v>
      </c>
      <c r="B5" s="7" t="s">
        <v>6</v>
      </c>
      <c r="C5" s="7" t="s">
        <v>7</v>
      </c>
      <c r="D5" s="6" t="s">
        <v>8</v>
      </c>
      <c r="E5" s="7" t="s">
        <v>9</v>
      </c>
      <c r="F5" s="7" t="s">
        <v>10</v>
      </c>
      <c r="G5" s="6" t="s">
        <v>11</v>
      </c>
      <c r="H5" s="6" t="s">
        <v>12</v>
      </c>
      <c r="I5" s="7" t="s">
        <v>13</v>
      </c>
      <c r="J5" s="7" t="s">
        <v>14</v>
      </c>
      <c r="K5" s="8" t="s">
        <v>15</v>
      </c>
      <c r="L5" s="7" t="s">
        <v>16</v>
      </c>
    </row>
    <row r="6">
      <c r="A6" s="9">
        <v>1.0</v>
      </c>
      <c r="B6" s="10" t="s">
        <v>17</v>
      </c>
      <c r="C6" s="11" t="s">
        <v>18</v>
      </c>
      <c r="D6" s="12">
        <v>12964.0</v>
      </c>
      <c r="E6" s="11" t="s">
        <v>19</v>
      </c>
      <c r="F6" s="10" t="s">
        <v>20</v>
      </c>
      <c r="G6" s="12">
        <v>23827.2</v>
      </c>
      <c r="H6" s="12">
        <f t="shared" ref="H6:H73" si="1">G6-D6</f>
        <v>10863.2</v>
      </c>
      <c r="I6" s="10" t="s">
        <v>23</v>
      </c>
      <c r="J6" s="11" t="s">
        <v>24</v>
      </c>
      <c r="K6" s="14" t="s">
        <v>25</v>
      </c>
      <c r="L6" s="15" t="s">
        <v>26</v>
      </c>
    </row>
    <row r="7">
      <c r="A7" s="9">
        <v>2.0</v>
      </c>
      <c r="B7" s="10" t="s">
        <v>17</v>
      </c>
      <c r="C7" s="11" t="s">
        <v>28</v>
      </c>
      <c r="D7" s="12">
        <v>14000.0</v>
      </c>
      <c r="E7" s="11" t="s">
        <v>29</v>
      </c>
      <c r="F7" s="10" t="s">
        <v>30</v>
      </c>
      <c r="G7" s="12">
        <v>18000.0</v>
      </c>
      <c r="H7" s="12">
        <f t="shared" si="1"/>
        <v>4000</v>
      </c>
      <c r="I7" s="10" t="s">
        <v>23</v>
      </c>
      <c r="J7" s="11" t="s">
        <v>31</v>
      </c>
      <c r="K7" s="14" t="s">
        <v>32</v>
      </c>
      <c r="L7" s="15" t="s">
        <v>33</v>
      </c>
    </row>
    <row r="8">
      <c r="A8" s="9">
        <v>3.0</v>
      </c>
      <c r="B8" s="10" t="s">
        <v>17</v>
      </c>
      <c r="C8" s="11" t="s">
        <v>35</v>
      </c>
      <c r="D8" s="12">
        <v>18000.0</v>
      </c>
      <c r="E8" s="11" t="s">
        <v>36</v>
      </c>
      <c r="F8" s="10" t="s">
        <v>37</v>
      </c>
      <c r="G8" s="12">
        <v>15000.0</v>
      </c>
      <c r="H8" s="12">
        <f t="shared" si="1"/>
        <v>-3000</v>
      </c>
      <c r="I8" s="10" t="s">
        <v>23</v>
      </c>
      <c r="J8" s="11" t="s">
        <v>38</v>
      </c>
      <c r="K8" s="14" t="s">
        <v>25</v>
      </c>
      <c r="L8" s="11"/>
    </row>
    <row r="9">
      <c r="A9" s="9">
        <v>4.0</v>
      </c>
      <c r="B9" s="10" t="s">
        <v>17</v>
      </c>
      <c r="C9" s="11" t="s">
        <v>40</v>
      </c>
      <c r="D9" s="12">
        <v>16481.84</v>
      </c>
      <c r="E9" s="11" t="s">
        <v>41</v>
      </c>
      <c r="F9" s="10"/>
      <c r="G9" s="12"/>
      <c r="H9" s="12">
        <f t="shared" si="1"/>
        <v>-16481.84</v>
      </c>
      <c r="I9" s="10" t="s">
        <v>23</v>
      </c>
      <c r="J9" s="11" t="s">
        <v>42</v>
      </c>
      <c r="K9" s="14" t="s">
        <v>25</v>
      </c>
      <c r="L9" s="15" t="s">
        <v>43</v>
      </c>
    </row>
    <row r="10">
      <c r="A10" s="9">
        <v>5.0</v>
      </c>
      <c r="B10" s="10" t="s">
        <v>17</v>
      </c>
      <c r="C10" s="11" t="s">
        <v>44</v>
      </c>
      <c r="D10" s="12">
        <v>10880.0</v>
      </c>
      <c r="E10" s="11" t="s">
        <v>41</v>
      </c>
      <c r="F10" s="10"/>
      <c r="G10" s="12"/>
      <c r="H10" s="12">
        <f t="shared" si="1"/>
        <v>-10880</v>
      </c>
      <c r="I10" s="10" t="s">
        <v>23</v>
      </c>
      <c r="J10" s="11" t="s">
        <v>45</v>
      </c>
      <c r="K10" s="16"/>
      <c r="L10" s="15" t="s">
        <v>43</v>
      </c>
    </row>
    <row r="11">
      <c r="A11" s="9">
        <v>6.0</v>
      </c>
      <c r="B11" s="10" t="s">
        <v>17</v>
      </c>
      <c r="C11" s="11" t="s">
        <v>46</v>
      </c>
      <c r="D11" s="12">
        <v>10330.75</v>
      </c>
      <c r="E11" s="11" t="s">
        <v>47</v>
      </c>
      <c r="F11" s="10" t="s">
        <v>48</v>
      </c>
      <c r="G11" s="12">
        <v>9000.0</v>
      </c>
      <c r="H11" s="12">
        <f t="shared" si="1"/>
        <v>-1330.75</v>
      </c>
      <c r="I11" s="10" t="s">
        <v>23</v>
      </c>
      <c r="J11" s="11" t="s">
        <v>49</v>
      </c>
      <c r="K11" s="14" t="s">
        <v>25</v>
      </c>
      <c r="L11" s="15" t="s">
        <v>50</v>
      </c>
    </row>
    <row r="12">
      <c r="A12" s="9">
        <v>7.0</v>
      </c>
      <c r="B12" s="10" t="s">
        <v>17</v>
      </c>
      <c r="C12" s="11" t="s">
        <v>51</v>
      </c>
      <c r="D12" s="12">
        <v>6300.0</v>
      </c>
      <c r="E12" s="11" t="s">
        <v>52</v>
      </c>
      <c r="F12" s="10" t="s">
        <v>53</v>
      </c>
      <c r="G12" s="12">
        <v>8838.0</v>
      </c>
      <c r="H12" s="12">
        <f t="shared" si="1"/>
        <v>2538</v>
      </c>
      <c r="I12" s="10" t="s">
        <v>23</v>
      </c>
      <c r="J12" s="11" t="s">
        <v>54</v>
      </c>
      <c r="K12" s="14" t="s">
        <v>25</v>
      </c>
      <c r="L12" s="11"/>
    </row>
    <row r="13">
      <c r="A13" s="9">
        <v>8.0</v>
      </c>
      <c r="B13" s="10" t="s">
        <v>17</v>
      </c>
      <c r="C13" s="11" t="s">
        <v>55</v>
      </c>
      <c r="D13" s="12">
        <v>8335.0</v>
      </c>
      <c r="E13" s="11" t="s">
        <v>56</v>
      </c>
      <c r="F13" s="10" t="s">
        <v>57</v>
      </c>
      <c r="G13" s="12">
        <v>2400.0</v>
      </c>
      <c r="H13" s="12">
        <f t="shared" si="1"/>
        <v>-5935</v>
      </c>
      <c r="I13" s="10" t="s">
        <v>23</v>
      </c>
      <c r="J13" s="11" t="s">
        <v>59</v>
      </c>
      <c r="K13" s="14" t="s">
        <v>32</v>
      </c>
      <c r="L13" s="11"/>
    </row>
    <row r="14">
      <c r="A14" s="18">
        <v>9.0</v>
      </c>
      <c r="B14" s="19" t="s">
        <v>60</v>
      </c>
      <c r="C14" s="20" t="s">
        <v>61</v>
      </c>
      <c r="D14" s="21">
        <v>45496.21000000001</v>
      </c>
      <c r="E14" s="20" t="s">
        <v>62</v>
      </c>
      <c r="F14" s="19" t="s">
        <v>63</v>
      </c>
      <c r="G14" s="21">
        <v>124271.82</v>
      </c>
      <c r="H14" s="21">
        <f t="shared" si="1"/>
        <v>78775.61</v>
      </c>
      <c r="I14" s="19" t="s">
        <v>64</v>
      </c>
      <c r="J14" s="20" t="s">
        <v>65</v>
      </c>
      <c r="K14" s="23" t="s">
        <v>25</v>
      </c>
      <c r="L14" s="20"/>
    </row>
    <row r="15">
      <c r="A15" s="18">
        <v>10.0</v>
      </c>
      <c r="B15" s="19" t="s">
        <v>60</v>
      </c>
      <c r="C15" s="20" t="s">
        <v>67</v>
      </c>
      <c r="D15" s="21">
        <v>74184.52999999997</v>
      </c>
      <c r="E15" s="20" t="s">
        <v>68</v>
      </c>
      <c r="F15" s="19" t="s">
        <v>69</v>
      </c>
      <c r="G15" s="21">
        <v>90743.52000000002</v>
      </c>
      <c r="H15" s="21">
        <f t="shared" si="1"/>
        <v>16558.99</v>
      </c>
      <c r="I15" s="19" t="s">
        <v>64</v>
      </c>
      <c r="J15" s="20" t="s">
        <v>70</v>
      </c>
      <c r="K15" s="23" t="s">
        <v>25</v>
      </c>
      <c r="L15" s="20"/>
    </row>
    <row r="16">
      <c r="A16" s="18">
        <v>11.0</v>
      </c>
      <c r="B16" s="19" t="s">
        <v>60</v>
      </c>
      <c r="C16" s="20" t="s">
        <v>71</v>
      </c>
      <c r="D16" s="21">
        <v>15102.87</v>
      </c>
      <c r="E16" s="20" t="s">
        <v>71</v>
      </c>
      <c r="F16" s="19" t="s">
        <v>57</v>
      </c>
      <c r="G16" s="21">
        <v>66821.04</v>
      </c>
      <c r="H16" s="21">
        <f t="shared" si="1"/>
        <v>51718.17</v>
      </c>
      <c r="I16" s="19" t="s">
        <v>64</v>
      </c>
      <c r="J16" s="20" t="s">
        <v>72</v>
      </c>
      <c r="K16" s="23" t="s">
        <v>25</v>
      </c>
      <c r="L16" s="25" t="s">
        <v>74</v>
      </c>
    </row>
    <row r="17">
      <c r="A17" s="18">
        <v>12.0</v>
      </c>
      <c r="B17" s="19" t="s">
        <v>17</v>
      </c>
      <c r="C17" s="20" t="s">
        <v>75</v>
      </c>
      <c r="D17" s="21">
        <v>14666.67</v>
      </c>
      <c r="E17" s="20" t="s">
        <v>76</v>
      </c>
      <c r="F17" s="19" t="s">
        <v>77</v>
      </c>
      <c r="G17" s="21">
        <v>43792.84</v>
      </c>
      <c r="H17" s="21">
        <f t="shared" si="1"/>
        <v>29126.17</v>
      </c>
      <c r="I17" s="19" t="s">
        <v>64</v>
      </c>
      <c r="J17" s="20" t="s">
        <v>78</v>
      </c>
      <c r="K17" s="23" t="s">
        <v>25</v>
      </c>
      <c r="L17" s="25" t="s">
        <v>79</v>
      </c>
    </row>
    <row r="18">
      <c r="A18" s="18">
        <v>13.0</v>
      </c>
      <c r="B18" s="19" t="s">
        <v>17</v>
      </c>
      <c r="C18" s="20" t="s">
        <v>80</v>
      </c>
      <c r="D18" s="21">
        <v>6500.0</v>
      </c>
      <c r="E18" s="20" t="s">
        <v>81</v>
      </c>
      <c r="F18" s="19" t="s">
        <v>82</v>
      </c>
      <c r="G18" s="21">
        <v>32500.0</v>
      </c>
      <c r="H18" s="21">
        <f t="shared" si="1"/>
        <v>26000</v>
      </c>
      <c r="I18" s="19" t="s">
        <v>64</v>
      </c>
      <c r="J18" s="20" t="s">
        <v>83</v>
      </c>
      <c r="K18" s="23" t="s">
        <v>25</v>
      </c>
      <c r="L18" s="25" t="s">
        <v>84</v>
      </c>
    </row>
    <row r="19">
      <c r="A19" s="18">
        <v>14.0</v>
      </c>
      <c r="B19" s="19" t="s">
        <v>17</v>
      </c>
      <c r="C19" s="20" t="s">
        <v>85</v>
      </c>
      <c r="D19" s="21">
        <v>31200.0</v>
      </c>
      <c r="E19" s="20" t="s">
        <v>86</v>
      </c>
      <c r="F19" s="19" t="s">
        <v>87</v>
      </c>
      <c r="G19" s="21">
        <v>20803.32</v>
      </c>
      <c r="H19" s="21">
        <f t="shared" si="1"/>
        <v>-10396.68</v>
      </c>
      <c r="I19" s="19" t="s">
        <v>64</v>
      </c>
      <c r="J19" s="20" t="s">
        <v>88</v>
      </c>
      <c r="K19" s="23" t="s">
        <v>25</v>
      </c>
      <c r="L19" s="20"/>
    </row>
    <row r="20">
      <c r="A20" s="18">
        <v>15.0</v>
      </c>
      <c r="B20" s="19" t="s">
        <v>60</v>
      </c>
      <c r="C20" s="20" t="s">
        <v>89</v>
      </c>
      <c r="D20" s="21">
        <v>10266.24</v>
      </c>
      <c r="E20" s="20" t="s">
        <v>89</v>
      </c>
      <c r="F20" s="19" t="s">
        <v>57</v>
      </c>
      <c r="G20" s="21">
        <v>28252.56000000001</v>
      </c>
      <c r="H20" s="21">
        <f t="shared" si="1"/>
        <v>17986.32</v>
      </c>
      <c r="I20" s="19" t="s">
        <v>64</v>
      </c>
      <c r="J20" s="20" t="s">
        <v>90</v>
      </c>
      <c r="K20" s="23" t="s">
        <v>25</v>
      </c>
      <c r="L20" s="25" t="s">
        <v>74</v>
      </c>
    </row>
    <row r="21" ht="15.75" customHeight="1">
      <c r="A21" s="18">
        <v>16.0</v>
      </c>
      <c r="B21" s="19" t="s">
        <v>17</v>
      </c>
      <c r="C21" s="20" t="s">
        <v>91</v>
      </c>
      <c r="D21" s="21">
        <v>15900.0</v>
      </c>
      <c r="E21" s="20" t="s">
        <v>92</v>
      </c>
      <c r="F21" s="19" t="s">
        <v>77</v>
      </c>
      <c r="G21" s="21">
        <v>24014.31</v>
      </c>
      <c r="H21" s="21">
        <f t="shared" si="1"/>
        <v>8114.31</v>
      </c>
      <c r="I21" s="19" t="s">
        <v>64</v>
      </c>
      <c r="J21" s="20" t="s">
        <v>93</v>
      </c>
      <c r="K21" s="23" t="s">
        <v>25</v>
      </c>
      <c r="L21" s="20"/>
    </row>
    <row r="22" ht="15.75" customHeight="1">
      <c r="A22" s="18">
        <v>17.0</v>
      </c>
      <c r="B22" s="19" t="s">
        <v>17</v>
      </c>
      <c r="C22" s="20" t="s">
        <v>94</v>
      </c>
      <c r="D22" s="21">
        <v>21832.26</v>
      </c>
      <c r="E22" s="20" t="s">
        <v>95</v>
      </c>
      <c r="F22" s="19" t="s">
        <v>57</v>
      </c>
      <c r="G22" s="21">
        <v>6000.0</v>
      </c>
      <c r="H22" s="21">
        <f t="shared" si="1"/>
        <v>-15832.26</v>
      </c>
      <c r="I22" s="19" t="s">
        <v>64</v>
      </c>
      <c r="J22" s="20" t="s">
        <v>96</v>
      </c>
      <c r="K22" s="23" t="s">
        <v>25</v>
      </c>
      <c r="L22" s="20"/>
    </row>
    <row r="23" ht="15.75" customHeight="1">
      <c r="A23" s="18">
        <v>18.0</v>
      </c>
      <c r="B23" s="19" t="s">
        <v>17</v>
      </c>
      <c r="C23" s="20" t="s">
        <v>97</v>
      </c>
      <c r="D23" s="21">
        <v>6000.0</v>
      </c>
      <c r="E23" s="20" t="s">
        <v>98</v>
      </c>
      <c r="F23" s="19" t="s">
        <v>69</v>
      </c>
      <c r="G23" s="21">
        <v>14110.0</v>
      </c>
      <c r="H23" s="21">
        <f t="shared" si="1"/>
        <v>8110</v>
      </c>
      <c r="I23" s="19" t="s">
        <v>64</v>
      </c>
      <c r="J23" s="20" t="s">
        <v>99</v>
      </c>
      <c r="K23" s="23" t="s">
        <v>25</v>
      </c>
      <c r="L23" s="20"/>
    </row>
    <row r="24" ht="15.75" customHeight="1">
      <c r="A24" s="18">
        <v>19.0</v>
      </c>
      <c r="B24" s="19" t="s">
        <v>17</v>
      </c>
      <c r="C24" s="20" t="s">
        <v>100</v>
      </c>
      <c r="D24" s="21">
        <v>3200.0</v>
      </c>
      <c r="E24" s="20" t="s">
        <v>101</v>
      </c>
      <c r="F24" s="19" t="s">
        <v>102</v>
      </c>
      <c r="G24" s="21">
        <v>7700.0</v>
      </c>
      <c r="H24" s="21">
        <f t="shared" si="1"/>
        <v>4500</v>
      </c>
      <c r="I24" s="19" t="s">
        <v>64</v>
      </c>
      <c r="J24" s="20" t="s">
        <v>103</v>
      </c>
      <c r="K24" s="23" t="s">
        <v>25</v>
      </c>
      <c r="L24" s="25" t="s">
        <v>104</v>
      </c>
    </row>
    <row r="25" ht="15.75" customHeight="1">
      <c r="A25" s="18">
        <v>20.0</v>
      </c>
      <c r="B25" s="19" t="s">
        <v>17</v>
      </c>
      <c r="C25" s="20" t="s">
        <v>105</v>
      </c>
      <c r="D25" s="21">
        <v>5000.0</v>
      </c>
      <c r="E25" s="20" t="s">
        <v>106</v>
      </c>
      <c r="F25" s="19" t="s">
        <v>107</v>
      </c>
      <c r="G25" s="21">
        <v>7668.63</v>
      </c>
      <c r="H25" s="21">
        <f t="shared" si="1"/>
        <v>2668.63</v>
      </c>
      <c r="I25" s="19" t="s">
        <v>64</v>
      </c>
      <c r="J25" s="20" t="s">
        <v>108</v>
      </c>
      <c r="K25" s="23" t="s">
        <v>25</v>
      </c>
      <c r="L25" s="20"/>
    </row>
    <row r="26" ht="15.75" customHeight="1">
      <c r="A26" s="18">
        <v>21.0</v>
      </c>
      <c r="B26" s="19" t="s">
        <v>17</v>
      </c>
      <c r="C26" s="20" t="s">
        <v>109</v>
      </c>
      <c r="D26" s="21">
        <v>2968.0</v>
      </c>
      <c r="E26" s="20" t="s">
        <v>110</v>
      </c>
      <c r="F26" s="19" t="s">
        <v>57</v>
      </c>
      <c r="G26" s="21">
        <v>5400.0</v>
      </c>
      <c r="H26" s="21">
        <f t="shared" si="1"/>
        <v>2432</v>
      </c>
      <c r="I26" s="19" t="s">
        <v>64</v>
      </c>
      <c r="J26" s="20" t="s">
        <v>111</v>
      </c>
      <c r="K26" s="23" t="s">
        <v>25</v>
      </c>
      <c r="L26" s="20"/>
    </row>
    <row r="27" ht="15.75" customHeight="1">
      <c r="A27" s="18">
        <v>22.0</v>
      </c>
      <c r="B27" s="19" t="s">
        <v>17</v>
      </c>
      <c r="C27" s="20" t="s">
        <v>112</v>
      </c>
      <c r="D27" s="21">
        <v>119434.1</v>
      </c>
      <c r="E27" s="20" t="s">
        <v>41</v>
      </c>
      <c r="F27" s="19"/>
      <c r="G27" s="21"/>
      <c r="H27" s="21">
        <f t="shared" si="1"/>
        <v>-119434.1</v>
      </c>
      <c r="I27" s="19" t="s">
        <v>113</v>
      </c>
      <c r="J27" s="20" t="s">
        <v>114</v>
      </c>
      <c r="K27" s="23" t="s">
        <v>32</v>
      </c>
      <c r="L27" s="20"/>
    </row>
    <row r="28" ht="15.75" customHeight="1">
      <c r="A28" s="18">
        <v>23.0</v>
      </c>
      <c r="B28" s="19" t="s">
        <v>17</v>
      </c>
      <c r="C28" s="20" t="s">
        <v>115</v>
      </c>
      <c r="D28" s="21">
        <v>56585.0</v>
      </c>
      <c r="E28" s="20" t="s">
        <v>116</v>
      </c>
      <c r="F28" s="19" t="s">
        <v>117</v>
      </c>
      <c r="G28" s="21">
        <v>1.0</v>
      </c>
      <c r="H28" s="21">
        <f t="shared" si="1"/>
        <v>-56584</v>
      </c>
      <c r="I28" s="19" t="s">
        <v>113</v>
      </c>
      <c r="J28" s="20" t="s">
        <v>118</v>
      </c>
      <c r="K28" s="23" t="s">
        <v>32</v>
      </c>
      <c r="L28" s="20"/>
    </row>
    <row r="29" ht="15.75" customHeight="1">
      <c r="A29" s="18">
        <v>24.0</v>
      </c>
      <c r="B29" s="19" t="s">
        <v>17</v>
      </c>
      <c r="C29" s="20" t="s">
        <v>119</v>
      </c>
      <c r="D29" s="21">
        <v>25435.9</v>
      </c>
      <c r="E29" s="20" t="s">
        <v>41</v>
      </c>
      <c r="F29" s="19"/>
      <c r="G29" s="21"/>
      <c r="H29" s="21">
        <f t="shared" si="1"/>
        <v>-25435.9</v>
      </c>
      <c r="I29" s="19" t="s">
        <v>113</v>
      </c>
      <c r="J29" s="20" t="s">
        <v>120</v>
      </c>
      <c r="K29" s="23" t="s">
        <v>32</v>
      </c>
      <c r="L29" s="25" t="s">
        <v>121</v>
      </c>
    </row>
    <row r="30" ht="15.75" customHeight="1">
      <c r="A30" s="18">
        <v>25.0</v>
      </c>
      <c r="B30" s="19" t="s">
        <v>17</v>
      </c>
      <c r="C30" s="20" t="s">
        <v>122</v>
      </c>
      <c r="D30" s="21">
        <v>14000.0</v>
      </c>
      <c r="E30" s="20" t="s">
        <v>41</v>
      </c>
      <c r="F30" s="19"/>
      <c r="G30" s="21"/>
      <c r="H30" s="21">
        <f t="shared" si="1"/>
        <v>-14000</v>
      </c>
      <c r="I30" s="19" t="s">
        <v>113</v>
      </c>
      <c r="J30" s="20" t="s">
        <v>114</v>
      </c>
      <c r="K30" s="23" t="s">
        <v>32</v>
      </c>
      <c r="L30" s="20"/>
    </row>
    <row r="31" ht="15.75" customHeight="1">
      <c r="A31" s="18">
        <v>26.0</v>
      </c>
      <c r="B31" s="19" t="s">
        <v>17</v>
      </c>
      <c r="C31" s="20" t="s">
        <v>123</v>
      </c>
      <c r="D31" s="21">
        <v>13993.59</v>
      </c>
      <c r="E31" s="20" t="s">
        <v>41</v>
      </c>
      <c r="F31" s="19"/>
      <c r="G31" s="21"/>
      <c r="H31" s="21">
        <f t="shared" si="1"/>
        <v>-13993.59</v>
      </c>
      <c r="I31" s="19" t="s">
        <v>113</v>
      </c>
      <c r="J31" s="20" t="s">
        <v>124</v>
      </c>
      <c r="K31" s="26" t="s">
        <v>25</v>
      </c>
      <c r="L31" s="25" t="s">
        <v>125</v>
      </c>
    </row>
    <row r="32" ht="15.75" customHeight="1">
      <c r="A32" s="18">
        <v>27.0</v>
      </c>
      <c r="B32" s="19" t="s">
        <v>17</v>
      </c>
      <c r="C32" s="20" t="s">
        <v>126</v>
      </c>
      <c r="D32" s="21">
        <v>11915.96</v>
      </c>
      <c r="E32" s="20" t="s">
        <v>41</v>
      </c>
      <c r="F32" s="19"/>
      <c r="G32" s="21"/>
      <c r="H32" s="21">
        <f t="shared" si="1"/>
        <v>-11915.96</v>
      </c>
      <c r="I32" s="19" t="s">
        <v>113</v>
      </c>
      <c r="J32" s="20" t="s">
        <v>124</v>
      </c>
      <c r="K32" s="23" t="s">
        <v>32</v>
      </c>
      <c r="L32" s="25" t="s">
        <v>121</v>
      </c>
    </row>
    <row r="33" ht="15.75" customHeight="1">
      <c r="A33" s="18">
        <v>28.0</v>
      </c>
      <c r="B33" s="19" t="s">
        <v>17</v>
      </c>
      <c r="C33" s="20" t="s">
        <v>127</v>
      </c>
      <c r="D33" s="21">
        <v>10133.76</v>
      </c>
      <c r="E33" s="20" t="s">
        <v>41</v>
      </c>
      <c r="F33" s="19"/>
      <c r="G33" s="21"/>
      <c r="H33" s="21">
        <f t="shared" si="1"/>
        <v>-10133.76</v>
      </c>
      <c r="I33" s="19" t="s">
        <v>113</v>
      </c>
      <c r="J33" s="20" t="s">
        <v>124</v>
      </c>
      <c r="K33" s="26" t="s">
        <v>25</v>
      </c>
      <c r="L33" s="25" t="s">
        <v>125</v>
      </c>
    </row>
    <row r="34" ht="15.75" customHeight="1">
      <c r="A34" s="18">
        <v>29.0</v>
      </c>
      <c r="B34" s="19" t="s">
        <v>17</v>
      </c>
      <c r="C34" s="20" t="s">
        <v>128</v>
      </c>
      <c r="D34" s="21">
        <v>10000.0</v>
      </c>
      <c r="E34" s="20" t="s">
        <v>41</v>
      </c>
      <c r="F34" s="19"/>
      <c r="G34" s="21"/>
      <c r="H34" s="21">
        <f t="shared" si="1"/>
        <v>-10000</v>
      </c>
      <c r="I34" s="19" t="s">
        <v>113</v>
      </c>
      <c r="J34" s="20" t="s">
        <v>124</v>
      </c>
      <c r="K34" s="26" t="s">
        <v>25</v>
      </c>
      <c r="L34" s="25" t="s">
        <v>125</v>
      </c>
    </row>
    <row r="35" ht="15.75" customHeight="1">
      <c r="A35" s="18">
        <v>30.0</v>
      </c>
      <c r="B35" s="19" t="s">
        <v>17</v>
      </c>
      <c r="C35" s="20" t="s">
        <v>129</v>
      </c>
      <c r="D35" s="21">
        <v>9000.0</v>
      </c>
      <c r="E35" s="20" t="s">
        <v>41</v>
      </c>
      <c r="F35" s="19"/>
      <c r="G35" s="21"/>
      <c r="H35" s="21">
        <f t="shared" si="1"/>
        <v>-9000</v>
      </c>
      <c r="I35" s="19" t="s">
        <v>113</v>
      </c>
      <c r="J35" s="20" t="s">
        <v>114</v>
      </c>
      <c r="K35" s="23" t="s">
        <v>32</v>
      </c>
      <c r="L35" s="20"/>
    </row>
    <row r="36" ht="15.75" customHeight="1">
      <c r="A36" s="18">
        <v>31.0</v>
      </c>
      <c r="B36" s="19" t="s">
        <v>17</v>
      </c>
      <c r="C36" s="20" t="s">
        <v>130</v>
      </c>
      <c r="D36" s="21">
        <v>6500.0</v>
      </c>
      <c r="E36" s="20" t="s">
        <v>131</v>
      </c>
      <c r="F36" s="19" t="s">
        <v>132</v>
      </c>
      <c r="G36" s="21">
        <v>1.0</v>
      </c>
      <c r="H36" s="21">
        <f t="shared" si="1"/>
        <v>-6499</v>
      </c>
      <c r="I36" s="19" t="s">
        <v>113</v>
      </c>
      <c r="J36" s="20" t="s">
        <v>133</v>
      </c>
      <c r="K36" s="23" t="s">
        <v>32</v>
      </c>
      <c r="L36" s="20"/>
    </row>
    <row r="37" ht="15.75" customHeight="1">
      <c r="A37" s="18">
        <v>32.0</v>
      </c>
      <c r="B37" s="19" t="s">
        <v>17</v>
      </c>
      <c r="C37" s="20" t="s">
        <v>134</v>
      </c>
      <c r="D37" s="21">
        <v>5400.0</v>
      </c>
      <c r="E37" s="20" t="s">
        <v>41</v>
      </c>
      <c r="F37" s="19"/>
      <c r="G37" s="21"/>
      <c r="H37" s="21">
        <f t="shared" si="1"/>
        <v>-5400</v>
      </c>
      <c r="I37" s="19" t="s">
        <v>113</v>
      </c>
      <c r="J37" s="20" t="s">
        <v>135</v>
      </c>
      <c r="K37" s="23" t="s">
        <v>32</v>
      </c>
      <c r="L37" s="20"/>
    </row>
    <row r="38" ht="15.75" customHeight="1">
      <c r="A38" s="18">
        <v>33.0</v>
      </c>
      <c r="B38" s="19" t="s">
        <v>17</v>
      </c>
      <c r="C38" s="20" t="s">
        <v>136</v>
      </c>
      <c r="D38" s="21">
        <v>2650.0</v>
      </c>
      <c r="E38" s="20" t="s">
        <v>137</v>
      </c>
      <c r="F38" s="19" t="s">
        <v>69</v>
      </c>
      <c r="G38" s="21">
        <v>2.0</v>
      </c>
      <c r="H38" s="21">
        <f t="shared" si="1"/>
        <v>-2648</v>
      </c>
      <c r="I38" s="19" t="s">
        <v>113</v>
      </c>
      <c r="J38" s="20" t="s">
        <v>138</v>
      </c>
      <c r="K38" s="26" t="s">
        <v>25</v>
      </c>
      <c r="L38" s="25" t="s">
        <v>125</v>
      </c>
    </row>
    <row r="39" ht="15.75" customHeight="1">
      <c r="A39" s="18">
        <v>34.0</v>
      </c>
      <c r="B39" s="19" t="s">
        <v>17</v>
      </c>
      <c r="C39" s="20" t="s">
        <v>139</v>
      </c>
      <c r="D39" s="21">
        <v>2500.0</v>
      </c>
      <c r="E39" s="20" t="s">
        <v>41</v>
      </c>
      <c r="F39" s="19"/>
      <c r="G39" s="21"/>
      <c r="H39" s="21">
        <f t="shared" si="1"/>
        <v>-2500</v>
      </c>
      <c r="I39" s="19" t="s">
        <v>113</v>
      </c>
      <c r="J39" s="20" t="s">
        <v>135</v>
      </c>
      <c r="K39" s="23" t="s">
        <v>32</v>
      </c>
      <c r="L39" s="20"/>
    </row>
    <row r="40" ht="15.75" customHeight="1">
      <c r="A40" s="27">
        <v>35.0</v>
      </c>
      <c r="B40" s="28" t="s">
        <v>17</v>
      </c>
      <c r="C40" s="29" t="s">
        <v>140</v>
      </c>
      <c r="D40" s="30">
        <v>29232.69</v>
      </c>
      <c r="E40" s="29" t="s">
        <v>41</v>
      </c>
      <c r="F40" s="28"/>
      <c r="G40" s="30"/>
      <c r="H40" s="31">
        <f t="shared" si="1"/>
        <v>-29232.69</v>
      </c>
      <c r="I40" s="28" t="s">
        <v>141</v>
      </c>
      <c r="J40" s="29" t="s">
        <v>142</v>
      </c>
      <c r="K40" s="32" t="s">
        <v>25</v>
      </c>
      <c r="L40" s="33" t="s">
        <v>143</v>
      </c>
    </row>
    <row r="41" ht="15.75" customHeight="1">
      <c r="A41" s="27">
        <v>36.0</v>
      </c>
      <c r="B41" s="28" t="s">
        <v>17</v>
      </c>
      <c r="C41" s="29" t="s">
        <v>144</v>
      </c>
      <c r="D41" s="30">
        <v>14311.92</v>
      </c>
      <c r="E41" s="29" t="s">
        <v>41</v>
      </c>
      <c r="F41" s="28"/>
      <c r="G41" s="30"/>
      <c r="H41" s="31">
        <f t="shared" si="1"/>
        <v>-14311.92</v>
      </c>
      <c r="I41" s="28" t="s">
        <v>141</v>
      </c>
      <c r="J41" s="29" t="s">
        <v>142</v>
      </c>
      <c r="K41" s="32" t="s">
        <v>25</v>
      </c>
      <c r="L41" s="33" t="s">
        <v>143</v>
      </c>
    </row>
    <row r="42" ht="15.75" customHeight="1">
      <c r="A42" s="27">
        <v>37.0</v>
      </c>
      <c r="B42" s="28" t="s">
        <v>17</v>
      </c>
      <c r="C42" s="29" t="s">
        <v>145</v>
      </c>
      <c r="D42" s="30">
        <v>12400.0</v>
      </c>
      <c r="E42" s="29" t="s">
        <v>41</v>
      </c>
      <c r="F42" s="28"/>
      <c r="G42" s="30"/>
      <c r="H42" s="31">
        <f t="shared" si="1"/>
        <v>-12400</v>
      </c>
      <c r="I42" s="28" t="s">
        <v>141</v>
      </c>
      <c r="J42" s="29" t="s">
        <v>142</v>
      </c>
      <c r="K42" s="32" t="s">
        <v>25</v>
      </c>
      <c r="L42" s="33" t="s">
        <v>143</v>
      </c>
    </row>
    <row r="43" ht="15.75" customHeight="1">
      <c r="A43" s="27">
        <v>38.0</v>
      </c>
      <c r="B43" s="28" t="s">
        <v>17</v>
      </c>
      <c r="C43" s="29" t="s">
        <v>146</v>
      </c>
      <c r="D43" s="30">
        <v>8260.05</v>
      </c>
      <c r="E43" s="29" t="s">
        <v>41</v>
      </c>
      <c r="F43" s="28"/>
      <c r="G43" s="30"/>
      <c r="H43" s="31">
        <f t="shared" si="1"/>
        <v>-8260.05</v>
      </c>
      <c r="I43" s="28" t="s">
        <v>141</v>
      </c>
      <c r="J43" s="29" t="s">
        <v>142</v>
      </c>
      <c r="K43" s="32" t="s">
        <v>25</v>
      </c>
      <c r="L43" s="33" t="s">
        <v>143</v>
      </c>
    </row>
    <row r="44" ht="15.75" customHeight="1">
      <c r="A44" s="27">
        <v>39.0</v>
      </c>
      <c r="B44" s="28" t="s">
        <v>17</v>
      </c>
      <c r="C44" s="29" t="s">
        <v>147</v>
      </c>
      <c r="D44" s="30">
        <v>6618.66</v>
      </c>
      <c r="E44" s="29" t="s">
        <v>41</v>
      </c>
      <c r="F44" s="28"/>
      <c r="G44" s="30"/>
      <c r="H44" s="31">
        <f t="shared" si="1"/>
        <v>-6618.66</v>
      </c>
      <c r="I44" s="28" t="s">
        <v>141</v>
      </c>
      <c r="J44" s="29" t="s">
        <v>142</v>
      </c>
      <c r="K44" s="32" t="s">
        <v>25</v>
      </c>
      <c r="L44" s="33" t="s">
        <v>143</v>
      </c>
    </row>
    <row r="45" ht="15.75" customHeight="1">
      <c r="A45" s="27">
        <v>40.0</v>
      </c>
      <c r="B45" s="28" t="s">
        <v>17</v>
      </c>
      <c r="C45" s="29" t="s">
        <v>148</v>
      </c>
      <c r="D45" s="30">
        <v>4515.27</v>
      </c>
      <c r="E45" s="29" t="s">
        <v>41</v>
      </c>
      <c r="F45" s="28"/>
      <c r="G45" s="30"/>
      <c r="H45" s="31">
        <f t="shared" si="1"/>
        <v>-4515.27</v>
      </c>
      <c r="I45" s="28" t="s">
        <v>141</v>
      </c>
      <c r="J45" s="29" t="s">
        <v>142</v>
      </c>
      <c r="K45" s="32" t="s">
        <v>25</v>
      </c>
      <c r="L45" s="33" t="s">
        <v>143</v>
      </c>
    </row>
    <row r="46" ht="15.75" customHeight="1">
      <c r="A46" s="27">
        <v>41.0</v>
      </c>
      <c r="B46" s="28" t="s">
        <v>17</v>
      </c>
      <c r="C46" s="29" t="s">
        <v>149</v>
      </c>
      <c r="D46" s="30">
        <v>4000.0</v>
      </c>
      <c r="E46" s="29" t="s">
        <v>41</v>
      </c>
      <c r="F46" s="28"/>
      <c r="G46" s="30"/>
      <c r="H46" s="31">
        <f t="shared" si="1"/>
        <v>-4000</v>
      </c>
      <c r="I46" s="28" t="s">
        <v>141</v>
      </c>
      <c r="J46" s="29" t="s">
        <v>142</v>
      </c>
      <c r="K46" s="32" t="s">
        <v>25</v>
      </c>
      <c r="L46" s="33" t="s">
        <v>143</v>
      </c>
    </row>
    <row r="47" ht="15.75" customHeight="1">
      <c r="A47" s="27">
        <v>42.0</v>
      </c>
      <c r="B47" s="28" t="s">
        <v>17</v>
      </c>
      <c r="C47" s="29" t="s">
        <v>41</v>
      </c>
      <c r="D47" s="30"/>
      <c r="E47" s="29" t="s">
        <v>150</v>
      </c>
      <c r="F47" s="28" t="s">
        <v>151</v>
      </c>
      <c r="G47" s="30">
        <v>50000.0</v>
      </c>
      <c r="H47" s="31">
        <f t="shared" si="1"/>
        <v>50000</v>
      </c>
      <c r="I47" s="28" t="s">
        <v>152</v>
      </c>
      <c r="J47" s="29" t="s">
        <v>153</v>
      </c>
      <c r="K47" s="34"/>
      <c r="L47" s="29"/>
    </row>
    <row r="48" ht="15.75" customHeight="1">
      <c r="A48" s="27">
        <v>43.0</v>
      </c>
      <c r="B48" s="28" t="s">
        <v>17</v>
      </c>
      <c r="C48" s="29" t="s">
        <v>41</v>
      </c>
      <c r="D48" s="30"/>
      <c r="E48" s="29" t="s">
        <v>154</v>
      </c>
      <c r="F48" s="28" t="s">
        <v>48</v>
      </c>
      <c r="G48" s="30">
        <v>41910.0</v>
      </c>
      <c r="H48" s="31">
        <f t="shared" si="1"/>
        <v>41910</v>
      </c>
      <c r="I48" s="28" t="s">
        <v>152</v>
      </c>
      <c r="J48" s="29" t="s">
        <v>153</v>
      </c>
      <c r="K48" s="34"/>
      <c r="L48" s="29"/>
    </row>
    <row r="49" ht="15.75" customHeight="1">
      <c r="A49" s="27">
        <v>44.0</v>
      </c>
      <c r="B49" s="28" t="s">
        <v>17</v>
      </c>
      <c r="C49" s="29" t="s">
        <v>41</v>
      </c>
      <c r="D49" s="30"/>
      <c r="E49" s="29" t="s">
        <v>155</v>
      </c>
      <c r="F49" s="28" t="s">
        <v>48</v>
      </c>
      <c r="G49" s="30">
        <v>23800.0</v>
      </c>
      <c r="H49" s="31">
        <f t="shared" si="1"/>
        <v>23800</v>
      </c>
      <c r="I49" s="28" t="s">
        <v>152</v>
      </c>
      <c r="J49" s="29" t="s">
        <v>153</v>
      </c>
      <c r="K49" s="34"/>
      <c r="L49" s="29"/>
    </row>
    <row r="50" ht="15.75" customHeight="1">
      <c r="A50" s="27">
        <v>45.0</v>
      </c>
      <c r="B50" s="28" t="s">
        <v>17</v>
      </c>
      <c r="C50" s="29" t="s">
        <v>41</v>
      </c>
      <c r="D50" s="30"/>
      <c r="E50" s="29" t="s">
        <v>156</v>
      </c>
      <c r="F50" s="28" t="s">
        <v>48</v>
      </c>
      <c r="G50" s="30">
        <v>23800.0</v>
      </c>
      <c r="H50" s="31">
        <f t="shared" si="1"/>
        <v>23800</v>
      </c>
      <c r="I50" s="28" t="s">
        <v>152</v>
      </c>
      <c r="J50" s="29" t="s">
        <v>153</v>
      </c>
      <c r="K50" s="34"/>
      <c r="L50" s="29"/>
    </row>
    <row r="51" ht="15.75" customHeight="1">
      <c r="A51" s="27">
        <v>46.0</v>
      </c>
      <c r="B51" s="28" t="s">
        <v>17</v>
      </c>
      <c r="C51" s="29" t="s">
        <v>41</v>
      </c>
      <c r="D51" s="30"/>
      <c r="E51" s="29" t="s">
        <v>157</v>
      </c>
      <c r="F51" s="28" t="s">
        <v>48</v>
      </c>
      <c r="G51" s="30">
        <v>22442.72</v>
      </c>
      <c r="H51" s="31">
        <f t="shared" si="1"/>
        <v>22442.72</v>
      </c>
      <c r="I51" s="28" t="s">
        <v>152</v>
      </c>
      <c r="J51" s="29" t="s">
        <v>153</v>
      </c>
      <c r="K51" s="34"/>
      <c r="L51" s="29"/>
    </row>
    <row r="52" ht="15.75" customHeight="1">
      <c r="A52" s="27">
        <v>47.0</v>
      </c>
      <c r="B52" s="28" t="s">
        <v>17</v>
      </c>
      <c r="C52" s="29" t="s">
        <v>41</v>
      </c>
      <c r="D52" s="30"/>
      <c r="E52" s="29" t="s">
        <v>158</v>
      </c>
      <c r="F52" s="28" t="s">
        <v>69</v>
      </c>
      <c r="G52" s="30">
        <v>19455.0</v>
      </c>
      <c r="H52" s="31">
        <f t="shared" si="1"/>
        <v>19455</v>
      </c>
      <c r="I52" s="28" t="s">
        <v>152</v>
      </c>
      <c r="J52" s="29" t="s">
        <v>153</v>
      </c>
      <c r="K52" s="34"/>
      <c r="L52" s="29"/>
    </row>
    <row r="53" ht="15.75" customHeight="1">
      <c r="A53" s="27">
        <v>48.0</v>
      </c>
      <c r="B53" s="28" t="s">
        <v>17</v>
      </c>
      <c r="C53" s="29" t="s">
        <v>41</v>
      </c>
      <c r="D53" s="30"/>
      <c r="E53" s="29" t="s">
        <v>159</v>
      </c>
      <c r="F53" s="28" t="s">
        <v>151</v>
      </c>
      <c r="G53" s="30">
        <v>19000.0</v>
      </c>
      <c r="H53" s="31">
        <f t="shared" si="1"/>
        <v>19000</v>
      </c>
      <c r="I53" s="28" t="s">
        <v>152</v>
      </c>
      <c r="J53" s="29" t="s">
        <v>153</v>
      </c>
      <c r="K53" s="34"/>
      <c r="L53" s="29"/>
    </row>
    <row r="54" ht="15.75" customHeight="1">
      <c r="A54" s="27">
        <v>49.0</v>
      </c>
      <c r="B54" s="28" t="s">
        <v>17</v>
      </c>
      <c r="C54" s="29" t="s">
        <v>41</v>
      </c>
      <c r="D54" s="30"/>
      <c r="E54" s="29" t="s">
        <v>160</v>
      </c>
      <c r="F54" s="28" t="s">
        <v>161</v>
      </c>
      <c r="G54" s="30">
        <v>17000.0</v>
      </c>
      <c r="H54" s="31">
        <f t="shared" si="1"/>
        <v>17000</v>
      </c>
      <c r="I54" s="28" t="s">
        <v>152</v>
      </c>
      <c r="J54" s="29" t="s">
        <v>153</v>
      </c>
      <c r="K54" s="34"/>
      <c r="L54" s="29"/>
    </row>
    <row r="55" ht="15.75" customHeight="1">
      <c r="A55" s="27">
        <v>50.0</v>
      </c>
      <c r="B55" s="28" t="s">
        <v>60</v>
      </c>
      <c r="C55" s="29" t="s">
        <v>41</v>
      </c>
      <c r="D55" s="30"/>
      <c r="E55" s="29" t="s">
        <v>162</v>
      </c>
      <c r="F55" s="28" t="s">
        <v>163</v>
      </c>
      <c r="G55" s="30">
        <v>14400.0</v>
      </c>
      <c r="H55" s="31">
        <f t="shared" si="1"/>
        <v>14400</v>
      </c>
      <c r="I55" s="28" t="s">
        <v>152</v>
      </c>
      <c r="J55" s="29" t="s">
        <v>153</v>
      </c>
      <c r="K55" s="34"/>
      <c r="L55" s="29"/>
    </row>
    <row r="56" ht="15.75" customHeight="1">
      <c r="A56" s="27">
        <v>51.0</v>
      </c>
      <c r="B56" s="28" t="s">
        <v>60</v>
      </c>
      <c r="C56" s="29" t="s">
        <v>41</v>
      </c>
      <c r="D56" s="30"/>
      <c r="E56" s="29" t="s">
        <v>164</v>
      </c>
      <c r="F56" s="28" t="s">
        <v>163</v>
      </c>
      <c r="G56" s="30">
        <v>14400.0</v>
      </c>
      <c r="H56" s="31">
        <f t="shared" si="1"/>
        <v>14400</v>
      </c>
      <c r="I56" s="28" t="s">
        <v>152</v>
      </c>
      <c r="J56" s="29" t="s">
        <v>153</v>
      </c>
      <c r="K56" s="34"/>
      <c r="L56" s="29"/>
    </row>
    <row r="57" ht="15.75" customHeight="1">
      <c r="A57" s="27">
        <v>52.0</v>
      </c>
      <c r="B57" s="28" t="s">
        <v>17</v>
      </c>
      <c r="C57" s="29" t="s">
        <v>41</v>
      </c>
      <c r="D57" s="30"/>
      <c r="E57" s="29" t="s">
        <v>165</v>
      </c>
      <c r="F57" s="28" t="s">
        <v>48</v>
      </c>
      <c r="G57" s="30">
        <v>9703.46</v>
      </c>
      <c r="H57" s="31">
        <f t="shared" si="1"/>
        <v>9703.46</v>
      </c>
      <c r="I57" s="28" t="s">
        <v>152</v>
      </c>
      <c r="J57" s="29" t="s">
        <v>153</v>
      </c>
      <c r="K57" s="34"/>
      <c r="L57" s="29"/>
    </row>
    <row r="58" ht="15.75" customHeight="1">
      <c r="A58" s="27">
        <v>53.0</v>
      </c>
      <c r="B58" s="28" t="s">
        <v>17</v>
      </c>
      <c r="C58" s="29" t="s">
        <v>41</v>
      </c>
      <c r="D58" s="30"/>
      <c r="E58" s="29" t="s">
        <v>166</v>
      </c>
      <c r="F58" s="28" t="s">
        <v>82</v>
      </c>
      <c r="G58" s="30">
        <v>7635.0</v>
      </c>
      <c r="H58" s="31">
        <f t="shared" si="1"/>
        <v>7635</v>
      </c>
      <c r="I58" s="28" t="s">
        <v>152</v>
      </c>
      <c r="J58" s="29" t="s">
        <v>153</v>
      </c>
      <c r="K58" s="34"/>
      <c r="L58" s="29"/>
    </row>
    <row r="59" ht="15.75" customHeight="1">
      <c r="A59" s="27">
        <v>54.0</v>
      </c>
      <c r="B59" s="28" t="s">
        <v>17</v>
      </c>
      <c r="C59" s="29" t="s">
        <v>41</v>
      </c>
      <c r="D59" s="30"/>
      <c r="E59" s="29" t="s">
        <v>167</v>
      </c>
      <c r="F59" s="28" t="s">
        <v>82</v>
      </c>
      <c r="G59" s="30">
        <v>7635.0</v>
      </c>
      <c r="H59" s="31">
        <f t="shared" si="1"/>
        <v>7635</v>
      </c>
      <c r="I59" s="28" t="s">
        <v>152</v>
      </c>
      <c r="J59" s="29" t="s">
        <v>153</v>
      </c>
      <c r="K59" s="34"/>
      <c r="L59" s="29"/>
    </row>
    <row r="60" ht="15.75" customHeight="1">
      <c r="A60" s="27">
        <v>55.0</v>
      </c>
      <c r="B60" s="28" t="s">
        <v>17</v>
      </c>
      <c r="C60" s="29" t="s">
        <v>41</v>
      </c>
      <c r="D60" s="30"/>
      <c r="E60" s="29" t="s">
        <v>168</v>
      </c>
      <c r="F60" s="28" t="s">
        <v>161</v>
      </c>
      <c r="G60" s="30">
        <v>7160.0</v>
      </c>
      <c r="H60" s="31">
        <f t="shared" si="1"/>
        <v>7160</v>
      </c>
      <c r="I60" s="28" t="s">
        <v>152</v>
      </c>
      <c r="J60" s="29" t="s">
        <v>153</v>
      </c>
      <c r="K60" s="34"/>
      <c r="L60" s="29"/>
    </row>
    <row r="61" ht="15.75" customHeight="1">
      <c r="A61" s="27">
        <v>56.0</v>
      </c>
      <c r="B61" s="28" t="s">
        <v>17</v>
      </c>
      <c r="C61" s="29" t="s">
        <v>41</v>
      </c>
      <c r="D61" s="30"/>
      <c r="E61" s="29" t="s">
        <v>169</v>
      </c>
      <c r="F61" s="28" t="s">
        <v>170</v>
      </c>
      <c r="G61" s="30">
        <v>6313.0</v>
      </c>
      <c r="H61" s="31">
        <f t="shared" si="1"/>
        <v>6313</v>
      </c>
      <c r="I61" s="28" t="s">
        <v>152</v>
      </c>
      <c r="J61" s="29" t="s">
        <v>153</v>
      </c>
      <c r="K61" s="34"/>
      <c r="L61" s="29"/>
    </row>
    <row r="62" ht="15.75" customHeight="1">
      <c r="A62" s="27">
        <v>57.0</v>
      </c>
      <c r="B62" s="28" t="s">
        <v>17</v>
      </c>
      <c r="C62" s="29" t="s">
        <v>41</v>
      </c>
      <c r="D62" s="30"/>
      <c r="E62" s="29" t="s">
        <v>171</v>
      </c>
      <c r="F62" s="28" t="s">
        <v>161</v>
      </c>
      <c r="G62" s="30">
        <v>5920.0</v>
      </c>
      <c r="H62" s="31">
        <f t="shared" si="1"/>
        <v>5920</v>
      </c>
      <c r="I62" s="28" t="s">
        <v>152</v>
      </c>
      <c r="J62" s="29" t="s">
        <v>153</v>
      </c>
      <c r="K62" s="34"/>
      <c r="L62" s="29"/>
    </row>
    <row r="63" ht="15.75" customHeight="1">
      <c r="A63" s="27">
        <v>58.0</v>
      </c>
      <c r="B63" s="28" t="s">
        <v>17</v>
      </c>
      <c r="C63" s="29" t="s">
        <v>41</v>
      </c>
      <c r="D63" s="30"/>
      <c r="E63" s="29" t="s">
        <v>172</v>
      </c>
      <c r="F63" s="28" t="s">
        <v>161</v>
      </c>
      <c r="G63" s="30">
        <v>3580.0</v>
      </c>
      <c r="H63" s="31">
        <f t="shared" si="1"/>
        <v>3580</v>
      </c>
      <c r="I63" s="28" t="s">
        <v>152</v>
      </c>
      <c r="J63" s="29" t="s">
        <v>153</v>
      </c>
      <c r="K63" s="34"/>
      <c r="L63" s="29"/>
    </row>
    <row r="64" ht="15.75" customHeight="1">
      <c r="A64" s="27">
        <v>59.0</v>
      </c>
      <c r="B64" s="28" t="s">
        <v>17</v>
      </c>
      <c r="C64" s="29" t="s">
        <v>41</v>
      </c>
      <c r="D64" s="30"/>
      <c r="E64" s="29" t="s">
        <v>173</v>
      </c>
      <c r="F64" s="28" t="s">
        <v>170</v>
      </c>
      <c r="G64" s="30">
        <v>2790.0</v>
      </c>
      <c r="H64" s="31">
        <f t="shared" si="1"/>
        <v>2790</v>
      </c>
      <c r="I64" s="28" t="s">
        <v>152</v>
      </c>
      <c r="J64" s="29" t="s">
        <v>153</v>
      </c>
      <c r="K64" s="34"/>
      <c r="L64" s="29"/>
    </row>
    <row r="65" ht="15.75" customHeight="1">
      <c r="A65" s="27">
        <v>60.0</v>
      </c>
      <c r="B65" s="28" t="s">
        <v>17</v>
      </c>
      <c r="C65" s="29" t="s">
        <v>41</v>
      </c>
      <c r="D65" s="30"/>
      <c r="E65" s="29" t="s">
        <v>174</v>
      </c>
      <c r="F65" s="28" t="s">
        <v>170</v>
      </c>
      <c r="G65" s="30">
        <v>2790.0</v>
      </c>
      <c r="H65" s="31">
        <f t="shared" si="1"/>
        <v>2790</v>
      </c>
      <c r="I65" s="28" t="s">
        <v>152</v>
      </c>
      <c r="J65" s="29" t="s">
        <v>153</v>
      </c>
      <c r="K65" s="34"/>
      <c r="L65" s="29"/>
    </row>
    <row r="66" ht="15.75" customHeight="1">
      <c r="A66" s="27">
        <v>61.0</v>
      </c>
      <c r="B66" s="28" t="s">
        <v>17</v>
      </c>
      <c r="C66" s="29" t="s">
        <v>41</v>
      </c>
      <c r="D66" s="30"/>
      <c r="E66" s="29" t="s">
        <v>175</v>
      </c>
      <c r="F66" s="28" t="s">
        <v>170</v>
      </c>
      <c r="G66" s="30">
        <v>2790.0</v>
      </c>
      <c r="H66" s="31">
        <f t="shared" si="1"/>
        <v>2790</v>
      </c>
      <c r="I66" s="28" t="s">
        <v>152</v>
      </c>
      <c r="J66" s="29" t="s">
        <v>153</v>
      </c>
      <c r="K66" s="34"/>
      <c r="L66" s="29"/>
    </row>
    <row r="67" ht="15.75" customHeight="1">
      <c r="A67" s="27">
        <v>62.0</v>
      </c>
      <c r="B67" s="28" t="s">
        <v>17</v>
      </c>
      <c r="C67" s="29" t="s">
        <v>41</v>
      </c>
      <c r="D67" s="30"/>
      <c r="E67" s="29" t="s">
        <v>176</v>
      </c>
      <c r="F67" s="28" t="s">
        <v>170</v>
      </c>
      <c r="G67" s="30">
        <v>2790.0</v>
      </c>
      <c r="H67" s="31">
        <f t="shared" si="1"/>
        <v>2790</v>
      </c>
      <c r="I67" s="28" t="s">
        <v>152</v>
      </c>
      <c r="J67" s="29" t="s">
        <v>153</v>
      </c>
      <c r="K67" s="34"/>
      <c r="L67" s="29"/>
    </row>
    <row r="68" ht="15.75" customHeight="1">
      <c r="A68" s="27">
        <v>63.0</v>
      </c>
      <c r="B68" s="28" t="s">
        <v>17</v>
      </c>
      <c r="C68" s="29" t="s">
        <v>41</v>
      </c>
      <c r="D68" s="30"/>
      <c r="E68" s="29" t="s">
        <v>177</v>
      </c>
      <c r="F68" s="28" t="s">
        <v>170</v>
      </c>
      <c r="G68" s="30">
        <v>2790.0</v>
      </c>
      <c r="H68" s="31">
        <f t="shared" si="1"/>
        <v>2790</v>
      </c>
      <c r="I68" s="28" t="s">
        <v>152</v>
      </c>
      <c r="J68" s="29" t="s">
        <v>153</v>
      </c>
      <c r="K68" s="34"/>
      <c r="L68" s="29"/>
    </row>
    <row r="69" ht="15.75" customHeight="1">
      <c r="A69" s="27">
        <v>64.0</v>
      </c>
      <c r="B69" s="28" t="s">
        <v>17</v>
      </c>
      <c r="C69" s="29" t="s">
        <v>41</v>
      </c>
      <c r="D69" s="30"/>
      <c r="E69" s="29" t="s">
        <v>178</v>
      </c>
      <c r="F69" s="28" t="s">
        <v>179</v>
      </c>
      <c r="G69" s="30">
        <v>2699.0</v>
      </c>
      <c r="H69" s="31">
        <f t="shared" si="1"/>
        <v>2699</v>
      </c>
      <c r="I69" s="28" t="s">
        <v>152</v>
      </c>
      <c r="J69" s="29" t="s">
        <v>153</v>
      </c>
      <c r="K69" s="34"/>
      <c r="L69" s="29"/>
    </row>
    <row r="70" ht="15.75" customHeight="1">
      <c r="A70" s="27">
        <v>65.0</v>
      </c>
      <c r="B70" s="28" t="s">
        <v>17</v>
      </c>
      <c r="C70" s="29" t="s">
        <v>41</v>
      </c>
      <c r="D70" s="30"/>
      <c r="E70" s="29" t="s">
        <v>180</v>
      </c>
      <c r="F70" s="28" t="s">
        <v>132</v>
      </c>
      <c r="G70" s="30">
        <v>1465.57</v>
      </c>
      <c r="H70" s="31">
        <f t="shared" si="1"/>
        <v>1465.57</v>
      </c>
      <c r="I70" s="28" t="s">
        <v>152</v>
      </c>
      <c r="J70" s="29" t="s">
        <v>153</v>
      </c>
      <c r="K70" s="34"/>
      <c r="L70" s="29"/>
    </row>
    <row r="71" ht="15.75" customHeight="1">
      <c r="A71" s="27">
        <v>66.0</v>
      </c>
      <c r="B71" s="28" t="s">
        <v>17</v>
      </c>
      <c r="C71" s="29" t="s">
        <v>41</v>
      </c>
      <c r="D71" s="30"/>
      <c r="E71" s="29" t="s">
        <v>181</v>
      </c>
      <c r="F71" s="28" t="s">
        <v>107</v>
      </c>
      <c r="G71" s="30">
        <v>1000.0</v>
      </c>
      <c r="H71" s="31">
        <f t="shared" si="1"/>
        <v>1000</v>
      </c>
      <c r="I71" s="28" t="s">
        <v>152</v>
      </c>
      <c r="J71" s="29" t="s">
        <v>153</v>
      </c>
      <c r="K71" s="34"/>
      <c r="L71" s="29"/>
    </row>
    <row r="72" ht="15.75" customHeight="1">
      <c r="A72" s="27">
        <v>67.0</v>
      </c>
      <c r="B72" s="28" t="s">
        <v>17</v>
      </c>
      <c r="C72" s="29" t="s">
        <v>41</v>
      </c>
      <c r="D72" s="30"/>
      <c r="E72" s="29" t="s">
        <v>182</v>
      </c>
      <c r="F72" s="28" t="s">
        <v>53</v>
      </c>
      <c r="G72" s="30">
        <v>630.0</v>
      </c>
      <c r="H72" s="31">
        <f t="shared" si="1"/>
        <v>630</v>
      </c>
      <c r="I72" s="28" t="s">
        <v>152</v>
      </c>
      <c r="J72" s="29" t="s">
        <v>153</v>
      </c>
      <c r="K72" s="34"/>
      <c r="L72" s="29"/>
    </row>
    <row r="73" ht="15.75" customHeight="1">
      <c r="A73" s="27">
        <v>68.0</v>
      </c>
      <c r="B73" s="28" t="s">
        <v>17</v>
      </c>
      <c r="C73" s="29" t="s">
        <v>41</v>
      </c>
      <c r="D73" s="30"/>
      <c r="E73" s="29" t="s">
        <v>183</v>
      </c>
      <c r="F73" s="28" t="s">
        <v>48</v>
      </c>
      <c r="G73" s="30">
        <v>1.0</v>
      </c>
      <c r="H73" s="31">
        <f t="shared" si="1"/>
        <v>1</v>
      </c>
      <c r="I73" s="28" t="s">
        <v>152</v>
      </c>
      <c r="J73" s="29" t="s">
        <v>153</v>
      </c>
      <c r="K73" s="34"/>
      <c r="L73" s="29"/>
    </row>
    <row r="74" ht="15.75" customHeight="1">
      <c r="K74" s="35"/>
    </row>
    <row r="75" ht="15.75" customHeight="1">
      <c r="K75" s="35"/>
    </row>
    <row r="76" ht="15.75" customHeight="1">
      <c r="K76" s="35"/>
    </row>
    <row r="77" ht="15.75" customHeight="1">
      <c r="K77" s="35"/>
    </row>
    <row r="78" ht="15.75" customHeight="1">
      <c r="K78" s="35"/>
    </row>
    <row r="79" ht="15.75" customHeight="1">
      <c r="K79" s="35"/>
    </row>
    <row r="80" ht="15.75" customHeight="1">
      <c r="K80" s="35"/>
    </row>
    <row r="81" ht="15.75" customHeight="1">
      <c r="K81" s="35"/>
    </row>
    <row r="82" ht="15.75" customHeight="1">
      <c r="K82" s="35"/>
    </row>
    <row r="83" ht="15.75" customHeight="1">
      <c r="K83" s="35"/>
    </row>
    <row r="84" ht="15.75" customHeight="1">
      <c r="K84" s="35"/>
    </row>
    <row r="85" ht="15.75" customHeight="1">
      <c r="K85" s="35"/>
    </row>
    <row r="86" ht="15.75" customHeight="1">
      <c r="K86" s="35"/>
    </row>
    <row r="87" ht="15.75" customHeight="1">
      <c r="K87" s="35"/>
    </row>
    <row r="88" ht="15.75" customHeight="1">
      <c r="K88" s="35"/>
    </row>
    <row r="89" ht="15.75" customHeight="1">
      <c r="K89" s="35"/>
    </row>
    <row r="90" ht="15.75" customHeight="1">
      <c r="K90" s="35"/>
    </row>
    <row r="91" ht="15.75" customHeight="1">
      <c r="K91" s="35"/>
    </row>
    <row r="92" ht="15.75" customHeight="1">
      <c r="K92" s="35"/>
    </row>
    <row r="93" ht="15.75" customHeight="1">
      <c r="K93" s="35"/>
    </row>
    <row r="94" ht="15.75" customHeight="1">
      <c r="K94" s="35"/>
    </row>
    <row r="95" ht="15.75" customHeight="1">
      <c r="K95" s="35"/>
    </row>
    <row r="96" ht="15.75" customHeight="1">
      <c r="K96" s="35"/>
    </row>
    <row r="97" ht="15.75" customHeight="1">
      <c r="K97" s="35"/>
    </row>
    <row r="98" ht="15.75" customHeight="1">
      <c r="K98" s="35"/>
    </row>
    <row r="99" ht="15.75" customHeight="1">
      <c r="K99" s="35"/>
    </row>
    <row r="100" ht="15.75" customHeight="1">
      <c r="K100" s="35"/>
    </row>
    <row r="101" ht="15.75" customHeight="1">
      <c r="K101" s="35"/>
    </row>
    <row r="102" ht="15.75" customHeight="1">
      <c r="K102" s="35"/>
    </row>
    <row r="103" ht="15.75" customHeight="1">
      <c r="K103" s="35"/>
    </row>
    <row r="104" ht="15.75" customHeight="1">
      <c r="K104" s="35"/>
    </row>
    <row r="105" ht="15.75" customHeight="1">
      <c r="K105" s="35"/>
    </row>
    <row r="106" ht="15.75" customHeight="1">
      <c r="K106" s="35"/>
    </row>
    <row r="107" ht="15.75" customHeight="1">
      <c r="K107" s="35"/>
    </row>
    <row r="108" ht="15.75" customHeight="1">
      <c r="K108" s="35"/>
    </row>
    <row r="109" ht="15.75" customHeight="1">
      <c r="K109" s="35"/>
    </row>
    <row r="110" ht="15.75" customHeight="1">
      <c r="K110" s="35"/>
    </row>
    <row r="111" ht="15.75" customHeight="1">
      <c r="K111" s="35"/>
    </row>
    <row r="112" ht="15.75" customHeight="1">
      <c r="K112" s="35"/>
    </row>
    <row r="113" ht="15.75" customHeight="1">
      <c r="K113" s="35"/>
    </row>
    <row r="114" ht="15.75" customHeight="1">
      <c r="K114" s="35"/>
    </row>
    <row r="115" ht="15.75" customHeight="1">
      <c r="K115" s="35"/>
    </row>
    <row r="116" ht="15.75" customHeight="1">
      <c r="K116" s="35"/>
    </row>
    <row r="117" ht="15.75" customHeight="1">
      <c r="K117" s="35"/>
    </row>
    <row r="118" ht="15.75" customHeight="1">
      <c r="K118" s="35"/>
    </row>
    <row r="119" ht="15.75" customHeight="1">
      <c r="K119" s="35"/>
    </row>
    <row r="120" ht="15.75" customHeight="1">
      <c r="K120" s="35"/>
    </row>
    <row r="121" ht="15.75" customHeight="1">
      <c r="K121" s="35"/>
    </row>
    <row r="122" ht="15.75" customHeight="1">
      <c r="K122" s="35"/>
    </row>
    <row r="123" ht="15.75" customHeight="1">
      <c r="K123" s="35"/>
    </row>
    <row r="124" ht="15.75" customHeight="1">
      <c r="K124" s="35"/>
    </row>
    <row r="125" ht="15.75" customHeight="1">
      <c r="K125" s="35"/>
    </row>
    <row r="126" ht="15.75" customHeight="1">
      <c r="K126" s="35"/>
    </row>
    <row r="127" ht="15.75" customHeight="1">
      <c r="K127" s="35"/>
    </row>
    <row r="128" ht="15.75" customHeight="1">
      <c r="K128" s="35"/>
    </row>
    <row r="129" ht="15.75" customHeight="1">
      <c r="K129" s="35"/>
    </row>
    <row r="130" ht="15.75" customHeight="1">
      <c r="K130" s="35"/>
    </row>
    <row r="131" ht="15.75" customHeight="1">
      <c r="K131" s="35"/>
    </row>
    <row r="132" ht="15.75" customHeight="1">
      <c r="K132" s="35"/>
    </row>
    <row r="133" ht="15.75" customHeight="1">
      <c r="K133" s="35"/>
    </row>
    <row r="134" ht="15.75" customHeight="1">
      <c r="K134" s="35"/>
    </row>
    <row r="135" ht="15.75" customHeight="1">
      <c r="K135" s="35"/>
    </row>
    <row r="136" ht="15.75" customHeight="1">
      <c r="K136" s="35"/>
    </row>
    <row r="137" ht="15.75" customHeight="1">
      <c r="K137" s="35"/>
    </row>
    <row r="138" ht="15.75" customHeight="1">
      <c r="K138" s="35"/>
    </row>
    <row r="139" ht="15.75" customHeight="1">
      <c r="K139" s="35"/>
    </row>
    <row r="140" ht="15.75" customHeight="1">
      <c r="K140" s="35"/>
    </row>
    <row r="141" ht="15.75" customHeight="1">
      <c r="K141" s="35"/>
    </row>
    <row r="142" ht="15.75" customHeight="1">
      <c r="K142" s="35"/>
    </row>
    <row r="143" ht="15.75" customHeight="1">
      <c r="K143" s="35"/>
    </row>
    <row r="144" ht="15.75" customHeight="1">
      <c r="K144" s="35"/>
    </row>
    <row r="145" ht="15.75" customHeight="1">
      <c r="K145" s="35"/>
    </row>
    <row r="146" ht="15.75" customHeight="1">
      <c r="K146" s="35"/>
    </row>
    <row r="147" ht="15.75" customHeight="1">
      <c r="K147" s="35"/>
    </row>
    <row r="148" ht="15.75" customHeight="1">
      <c r="K148" s="35"/>
    </row>
    <row r="149" ht="15.75" customHeight="1">
      <c r="K149" s="35"/>
    </row>
    <row r="150" ht="15.75" customHeight="1">
      <c r="K150" s="35"/>
    </row>
    <row r="151" ht="15.75" customHeight="1">
      <c r="K151" s="35"/>
    </row>
    <row r="152" ht="15.75" customHeight="1">
      <c r="K152" s="35"/>
    </row>
    <row r="153" ht="15.75" customHeight="1">
      <c r="K153" s="35"/>
    </row>
    <row r="154" ht="15.75" customHeight="1">
      <c r="K154" s="35"/>
    </row>
    <row r="155" ht="15.75" customHeight="1">
      <c r="K155" s="35"/>
    </row>
    <row r="156" ht="15.75" customHeight="1">
      <c r="K156" s="35"/>
    </row>
    <row r="157" ht="15.75" customHeight="1">
      <c r="K157" s="35"/>
    </row>
    <row r="158" ht="15.75" customHeight="1">
      <c r="K158" s="35"/>
    </row>
    <row r="159" ht="15.75" customHeight="1">
      <c r="K159" s="35"/>
    </row>
    <row r="160" ht="15.75" customHeight="1">
      <c r="K160" s="35"/>
    </row>
    <row r="161" ht="15.75" customHeight="1">
      <c r="K161" s="35"/>
    </row>
    <row r="162" ht="15.75" customHeight="1">
      <c r="K162" s="35"/>
    </row>
    <row r="163" ht="15.75" customHeight="1">
      <c r="K163" s="35"/>
    </row>
    <row r="164" ht="15.75" customHeight="1">
      <c r="K164" s="35"/>
    </row>
    <row r="165" ht="15.75" customHeight="1">
      <c r="K165" s="35"/>
    </row>
    <row r="166" ht="15.75" customHeight="1">
      <c r="K166" s="35"/>
    </row>
    <row r="167" ht="15.75" customHeight="1">
      <c r="K167" s="35"/>
    </row>
    <row r="168" ht="15.75" customHeight="1">
      <c r="K168" s="35"/>
    </row>
    <row r="169" ht="15.75" customHeight="1">
      <c r="K169" s="35"/>
    </row>
    <row r="170" ht="15.75" customHeight="1">
      <c r="K170" s="35"/>
    </row>
    <row r="171" ht="15.75" customHeight="1">
      <c r="K171" s="35"/>
    </row>
    <row r="172" ht="15.75" customHeight="1">
      <c r="K172" s="35"/>
    </row>
    <row r="173" ht="15.75" customHeight="1">
      <c r="K173" s="35"/>
    </row>
    <row r="174" ht="15.75" customHeight="1">
      <c r="K174" s="35"/>
    </row>
    <row r="175" ht="15.75" customHeight="1">
      <c r="K175" s="35"/>
    </row>
    <row r="176" ht="15.75" customHeight="1">
      <c r="K176" s="35"/>
    </row>
    <row r="177" ht="15.75" customHeight="1">
      <c r="K177" s="35"/>
    </row>
    <row r="178" ht="15.75" customHeight="1">
      <c r="K178" s="35"/>
    </row>
    <row r="179" ht="15.75" customHeight="1">
      <c r="K179" s="35"/>
    </row>
    <row r="180" ht="15.75" customHeight="1">
      <c r="K180" s="35"/>
    </row>
    <row r="181" ht="15.75" customHeight="1">
      <c r="K181" s="35"/>
    </row>
    <row r="182" ht="15.75" customHeight="1">
      <c r="K182" s="35"/>
    </row>
    <row r="183" ht="15.75" customHeight="1">
      <c r="K183" s="35"/>
    </row>
    <row r="184" ht="15.75" customHeight="1">
      <c r="K184" s="35"/>
    </row>
    <row r="185" ht="15.75" customHeight="1">
      <c r="K185" s="35"/>
    </row>
    <row r="186" ht="15.75" customHeight="1">
      <c r="K186" s="35"/>
    </row>
    <row r="187" ht="15.75" customHeight="1">
      <c r="K187" s="35"/>
    </row>
    <row r="188" ht="15.75" customHeight="1">
      <c r="K188" s="35"/>
    </row>
    <row r="189" ht="15.75" customHeight="1">
      <c r="K189" s="35"/>
    </row>
    <row r="190" ht="15.75" customHeight="1">
      <c r="K190" s="35"/>
    </row>
    <row r="191" ht="15.75" customHeight="1">
      <c r="K191" s="35"/>
    </row>
    <row r="192" ht="15.75" customHeight="1">
      <c r="K192" s="35"/>
    </row>
    <row r="193" ht="15.75" customHeight="1">
      <c r="K193" s="35"/>
    </row>
    <row r="194" ht="15.75" customHeight="1">
      <c r="K194" s="35"/>
    </row>
    <row r="195" ht="15.75" customHeight="1">
      <c r="K195" s="35"/>
    </row>
    <row r="196" ht="15.75" customHeight="1">
      <c r="K196" s="35"/>
    </row>
    <row r="197" ht="15.75" customHeight="1">
      <c r="K197" s="35"/>
    </row>
    <row r="198" ht="15.75" customHeight="1">
      <c r="K198" s="35"/>
    </row>
    <row r="199" ht="15.75" customHeight="1">
      <c r="K199" s="35"/>
    </row>
    <row r="200" ht="15.75" customHeight="1">
      <c r="K200" s="35"/>
    </row>
    <row r="201" ht="15.75" customHeight="1">
      <c r="K201" s="35"/>
    </row>
    <row r="202" ht="15.75" customHeight="1">
      <c r="K202" s="35"/>
    </row>
    <row r="203" ht="15.75" customHeight="1">
      <c r="K203" s="35"/>
    </row>
    <row r="204" ht="15.75" customHeight="1">
      <c r="K204" s="35"/>
    </row>
    <row r="205" ht="15.75" customHeight="1">
      <c r="K205" s="35"/>
    </row>
    <row r="206" ht="15.75" customHeight="1">
      <c r="K206" s="35"/>
    </row>
    <row r="207" ht="15.75" customHeight="1">
      <c r="K207" s="35"/>
    </row>
    <row r="208" ht="15.75" customHeight="1">
      <c r="K208" s="35"/>
    </row>
    <row r="209" ht="15.75" customHeight="1">
      <c r="K209" s="35"/>
    </row>
    <row r="210" ht="15.75" customHeight="1">
      <c r="K210" s="35"/>
    </row>
    <row r="211" ht="15.75" customHeight="1">
      <c r="K211" s="35"/>
    </row>
    <row r="212" ht="15.75" customHeight="1">
      <c r="K212" s="35"/>
    </row>
    <row r="213" ht="15.75" customHeight="1">
      <c r="K213" s="35"/>
    </row>
    <row r="214" ht="15.75" customHeight="1">
      <c r="K214" s="35"/>
    </row>
    <row r="215" ht="15.75" customHeight="1">
      <c r="K215" s="35"/>
    </row>
    <row r="216" ht="15.75" customHeight="1">
      <c r="K216" s="35"/>
    </row>
    <row r="217" ht="15.75" customHeight="1">
      <c r="K217" s="35"/>
    </row>
    <row r="218" ht="15.75" customHeight="1">
      <c r="K218" s="35"/>
    </row>
    <row r="219" ht="15.75" customHeight="1">
      <c r="K219" s="35"/>
    </row>
    <row r="220" ht="15.75" customHeight="1">
      <c r="K220" s="35"/>
    </row>
    <row r="221" ht="15.75" customHeight="1">
      <c r="K221" s="35"/>
    </row>
    <row r="222" ht="15.75" customHeight="1">
      <c r="K222" s="35"/>
    </row>
    <row r="223" ht="15.75" customHeight="1">
      <c r="K223" s="35"/>
    </row>
    <row r="224" ht="15.75" customHeight="1">
      <c r="K224" s="35"/>
    </row>
    <row r="225" ht="15.75" customHeight="1">
      <c r="K225" s="35"/>
    </row>
    <row r="226" ht="15.75" customHeight="1">
      <c r="K226" s="35"/>
    </row>
    <row r="227" ht="15.75" customHeight="1">
      <c r="K227" s="35"/>
    </row>
    <row r="228" ht="15.75" customHeight="1">
      <c r="K228" s="35"/>
    </row>
    <row r="229" ht="15.75" customHeight="1">
      <c r="K229" s="35"/>
    </row>
    <row r="230" ht="15.75" customHeight="1">
      <c r="K230" s="35"/>
    </row>
    <row r="231" ht="15.75" customHeight="1">
      <c r="K231" s="35"/>
    </row>
    <row r="232" ht="15.75" customHeight="1">
      <c r="K232" s="35"/>
    </row>
    <row r="233" ht="15.75" customHeight="1">
      <c r="K233" s="35"/>
    </row>
    <row r="234" ht="15.75" customHeight="1">
      <c r="K234" s="35"/>
    </row>
    <row r="235" ht="15.75" customHeight="1">
      <c r="K235" s="35"/>
    </row>
    <row r="236" ht="15.75" customHeight="1">
      <c r="K236" s="35"/>
    </row>
    <row r="237" ht="15.75" customHeight="1">
      <c r="K237" s="35"/>
    </row>
    <row r="238" ht="15.75" customHeight="1">
      <c r="K238" s="35"/>
    </row>
    <row r="239" ht="15.75" customHeight="1">
      <c r="K239" s="35"/>
    </row>
    <row r="240" ht="15.75" customHeight="1">
      <c r="K240" s="35"/>
    </row>
    <row r="241" ht="15.75" customHeight="1">
      <c r="K241" s="35"/>
    </row>
    <row r="242" ht="15.75" customHeight="1">
      <c r="K242" s="35"/>
    </row>
    <row r="243" ht="15.75" customHeight="1">
      <c r="K243" s="35"/>
    </row>
    <row r="244" ht="15.75" customHeight="1">
      <c r="K244" s="35"/>
    </row>
    <row r="245" ht="15.75" customHeight="1">
      <c r="K245" s="35"/>
    </row>
    <row r="246" ht="15.75" customHeight="1">
      <c r="K246" s="35"/>
    </row>
    <row r="247" ht="15.75" customHeight="1">
      <c r="K247" s="35"/>
    </row>
    <row r="248" ht="15.75" customHeight="1">
      <c r="K248" s="35"/>
    </row>
    <row r="249" ht="15.75" customHeight="1">
      <c r="K249" s="35"/>
    </row>
    <row r="250" ht="15.75" customHeight="1">
      <c r="K250" s="35"/>
    </row>
    <row r="251" ht="15.75" customHeight="1">
      <c r="K251" s="35"/>
    </row>
    <row r="252" ht="15.75" customHeight="1">
      <c r="K252" s="35"/>
    </row>
    <row r="253" ht="15.75" customHeight="1">
      <c r="K253" s="35"/>
    </row>
    <row r="254" ht="15.75" customHeight="1">
      <c r="K254" s="35"/>
    </row>
    <row r="255" ht="15.75" customHeight="1">
      <c r="K255" s="35"/>
    </row>
    <row r="256" ht="15.75" customHeight="1">
      <c r="K256" s="35"/>
    </row>
    <row r="257" ht="15.75" customHeight="1">
      <c r="K257" s="35"/>
    </row>
    <row r="258" ht="15.75" customHeight="1">
      <c r="K258" s="35"/>
    </row>
    <row r="259" ht="15.75" customHeight="1">
      <c r="K259" s="35"/>
    </row>
    <row r="260" ht="15.75" customHeight="1">
      <c r="K260" s="35"/>
    </row>
    <row r="261" ht="15.75" customHeight="1">
      <c r="K261" s="35"/>
    </row>
    <row r="262" ht="15.75" customHeight="1">
      <c r="K262" s="35"/>
    </row>
    <row r="263" ht="15.75" customHeight="1">
      <c r="K263" s="35"/>
    </row>
    <row r="264" ht="15.75" customHeight="1">
      <c r="K264" s="35"/>
    </row>
    <row r="265" ht="15.75" customHeight="1">
      <c r="K265" s="35"/>
    </row>
    <row r="266" ht="15.75" customHeight="1">
      <c r="K266" s="35"/>
    </row>
    <row r="267" ht="15.75" customHeight="1">
      <c r="K267" s="35"/>
    </row>
    <row r="268" ht="15.75" customHeight="1">
      <c r="K268" s="35"/>
    </row>
    <row r="269" ht="15.75" customHeight="1">
      <c r="K269" s="35"/>
    </row>
    <row r="270" ht="15.75" customHeight="1">
      <c r="K270" s="35"/>
    </row>
    <row r="271" ht="15.75" customHeight="1">
      <c r="K271" s="35"/>
    </row>
    <row r="272" ht="15.75" customHeight="1">
      <c r="K272" s="35"/>
    </row>
    <row r="273" ht="15.75" customHeight="1">
      <c r="K273" s="35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L$73"/>
  <dataValidations>
    <dataValidation type="list" allowBlank="1" sqref="K6:K273">
      <formula1>"SIM,NÃO"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26" width="8.71"/>
  </cols>
  <sheetData>
    <row r="1">
      <c r="A1" s="2" t="s">
        <v>1</v>
      </c>
    </row>
    <row r="3">
      <c r="A3" s="5" t="s">
        <v>3</v>
      </c>
      <c r="B3" s="13">
        <f>SUM('Comparação'!D6:D1000)</f>
        <v>716495.27</v>
      </c>
    </row>
    <row r="4">
      <c r="A4" s="5" t="s">
        <v>21</v>
      </c>
      <c r="B4" s="13">
        <f>SUM('Comparação'!G6:G1000)</f>
        <v>863046.99</v>
      </c>
    </row>
    <row r="5">
      <c r="A5" s="5" t="s">
        <v>22</v>
      </c>
      <c r="B5" s="13">
        <f>SUMIFS('Comparação'!D6:D1000,'Comparação'!K6:K1000,"SIM")</f>
        <v>432509.31</v>
      </c>
    </row>
    <row r="6">
      <c r="A6" s="5" t="s">
        <v>27</v>
      </c>
      <c r="B6" s="13">
        <f>SUMIFS('Comparação'!G6:G1000,'Comparação'!K6:K1000,"SIM")</f>
        <v>528745.24</v>
      </c>
    </row>
    <row r="7">
      <c r="A7" s="5" t="s">
        <v>34</v>
      </c>
      <c r="B7" s="13">
        <f>B6-B5</f>
        <v>96235.93</v>
      </c>
    </row>
    <row r="8">
      <c r="A8" s="5" t="s">
        <v>39</v>
      </c>
      <c r="B8" s="17">
        <f>IF(B5=0,0,B6/B5-1)</f>
        <v>0.2225060311</v>
      </c>
    </row>
    <row r="9">
      <c r="A9" s="5" t="s">
        <v>58</v>
      </c>
      <c r="B9" s="22">
        <f>COUNTIF('Comparação'!K6:K1000,"SIM")</f>
        <v>29</v>
      </c>
    </row>
    <row r="10">
      <c r="A10" s="5" t="s">
        <v>66</v>
      </c>
      <c r="B10" s="22">
        <f>COUNTIFS('Comparação'!I6:I1000,"Dúvida",'Comparação'!K6:K1000,"")</f>
        <v>1</v>
      </c>
    </row>
    <row r="12">
      <c r="A12" s="24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2026-10-07T01:18:32Z</dcterms:created>
  <dc:creator>openpyxl</dc:creator>
</cp:coreProperties>
</file>